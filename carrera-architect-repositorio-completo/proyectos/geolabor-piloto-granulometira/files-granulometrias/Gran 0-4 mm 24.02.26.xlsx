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28\server\PC2\GEOLABOR-LAVORO\TUTTO 2026\PROVE 2026\ANTON MAIER 2026\V.A. 19-26\"/>
    </mc:Choice>
  </mc:AlternateContent>
  <xr:revisionPtr revIDLastSave="0" documentId="13_ncr:1_{F0ED034C-21B8-4E8A-B275-BD6E68F8A8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" i="2" l="1"/>
  <c r="F32" i="2" s="1"/>
  <c r="D41" i="2"/>
  <c r="F41" i="2" s="1"/>
  <c r="B46" i="2" s="1"/>
  <c r="E35" i="2"/>
  <c r="L7" i="1"/>
  <c r="A7" i="1"/>
  <c r="A2" i="1"/>
  <c r="B43" i="2"/>
  <c r="E26" i="2"/>
  <c r="E27" i="2"/>
  <c r="E28" i="2"/>
  <c r="E29" i="2"/>
  <c r="N41" i="1"/>
  <c r="N40" i="1"/>
  <c r="AM41" i="1"/>
  <c r="AM40" i="1"/>
  <c r="Y41" i="1"/>
  <c r="X40" i="1"/>
  <c r="N39" i="1"/>
  <c r="A40" i="1"/>
  <c r="A41" i="1"/>
  <c r="A39" i="1"/>
  <c r="L8" i="1"/>
  <c r="AW7" i="1"/>
  <c r="AH7" i="1"/>
  <c r="AW6" i="1"/>
  <c r="AH6" i="1"/>
  <c r="AH5" i="1"/>
  <c r="L6" i="1"/>
  <c r="L5" i="1"/>
  <c r="AA5" i="1"/>
  <c r="A6" i="1"/>
  <c r="AG3" i="1"/>
  <c r="W3" i="1"/>
  <c r="W2" i="1"/>
  <c r="A5" i="1"/>
  <c r="A8" i="1"/>
  <c r="H6" i="1"/>
  <c r="E24" i="2"/>
  <c r="E37" i="2"/>
  <c r="E36" i="2"/>
  <c r="E39" i="2"/>
  <c r="E33" i="2"/>
  <c r="F33" i="2" s="1"/>
  <c r="E40" i="2"/>
  <c r="E38" i="2"/>
  <c r="E34" i="2"/>
  <c r="F34" i="2" l="1"/>
  <c r="F35" i="2" s="1"/>
  <c r="F36" i="2" s="1"/>
  <c r="F37" i="2" s="1"/>
  <c r="F38" i="2" s="1"/>
  <c r="F39" i="2" s="1"/>
  <c r="F40" i="2" s="1"/>
  <c r="B44" i="2"/>
  <c r="B45" i="2"/>
</calcChain>
</file>

<file path=xl/sharedStrings.xml><?xml version="1.0" encoding="utf-8"?>
<sst xmlns="http://schemas.openxmlformats.org/spreadsheetml/2006/main" count="92" uniqueCount="77">
  <si>
    <t>Setaccio</t>
  </si>
  <si>
    <t>%</t>
  </si>
  <si>
    <t>&lt; 0.063</t>
  </si>
  <si>
    <t>5/8"</t>
  </si>
  <si>
    <t>ARGILLA</t>
  </si>
  <si>
    <t>LIMO</t>
  </si>
  <si>
    <t>SABBIA</t>
  </si>
  <si>
    <t>GHIAIA</t>
  </si>
  <si>
    <t>CIOTTOLI</t>
  </si>
  <si>
    <t>Fine</t>
  </si>
  <si>
    <t>Medio</t>
  </si>
  <si>
    <t>Grosso</t>
  </si>
  <si>
    <t>TABELLA RIASSUNTIVA</t>
  </si>
  <si>
    <t>5/16"</t>
  </si>
  <si>
    <t>0.002</t>
  </si>
  <si>
    <t>0.006</t>
  </si>
  <si>
    <t>0.2</t>
  </si>
  <si>
    <t>0.6</t>
  </si>
  <si>
    <t>DIRETTORE LABORATORIO</t>
  </si>
  <si>
    <t>Trattenuto (g)</t>
  </si>
  <si>
    <r>
      <t xml:space="preserve">ANALISI GRANULOMETRICA </t>
    </r>
    <r>
      <rPr>
        <sz val="10"/>
        <rFont val="Arial"/>
        <family val="2"/>
      </rPr>
      <t>(NORME: UNI EN 933-1)</t>
    </r>
  </si>
  <si>
    <t>3. 1/2"</t>
  </si>
  <si>
    <t>2. 1/4"</t>
  </si>
  <si>
    <t>1. 3/4"</t>
  </si>
  <si>
    <t>2. 1/2"</t>
  </si>
  <si>
    <t>1.1/4"</t>
  </si>
  <si>
    <t>7/8"</t>
  </si>
  <si>
    <t>7/16"</t>
  </si>
  <si>
    <r>
      <t xml:space="preserve">Geo-Labor </t>
    </r>
    <r>
      <rPr>
        <sz val="12"/>
        <rFont val="Times New Roman"/>
        <family val="1"/>
      </rPr>
      <t>s.a.s.</t>
    </r>
  </si>
  <si>
    <t>Dimensioni</t>
  </si>
  <si>
    <t>Diametro (mm)</t>
  </si>
  <si>
    <t>Trattenuto (%)</t>
  </si>
  <si>
    <t>Passante (%)</t>
  </si>
  <si>
    <t>Pag. 2 di 2</t>
  </si>
  <si>
    <r>
      <t xml:space="preserve">      Geo-Labor </t>
    </r>
    <r>
      <rPr>
        <sz val="12"/>
        <rFont val="Times New Roman"/>
        <family val="1"/>
      </rPr>
      <t>s.a.s.</t>
    </r>
  </si>
  <si>
    <t>Pag. 1 di 2</t>
  </si>
  <si>
    <r>
      <t>KORNGROSSENANALYSE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(GEMÄß: UNI EN 933-1)</t>
    </r>
  </si>
  <si>
    <t xml:space="preserve">AUFTRAGGEBER/COMMITT.: </t>
  </si>
  <si>
    <t>ANTON MAIER G.m.b.H/S.r.l.</t>
  </si>
  <si>
    <t xml:space="preserve">ORT/LOCALITA':  </t>
  </si>
  <si>
    <t>Schotterwerk Bozen/inerti Bolzano</t>
  </si>
  <si>
    <t>PROBE/CAMP.:</t>
  </si>
  <si>
    <t>Cod. 010</t>
  </si>
  <si>
    <t>0/4 mm</t>
  </si>
  <si>
    <t>BESCHREIBUNG/DESCRIZIONE:</t>
  </si>
  <si>
    <t xml:space="preserve">SIEBUG/SETACCIATURA </t>
  </si>
  <si>
    <t>Sieb</t>
  </si>
  <si>
    <t>Durchmesser</t>
  </si>
  <si>
    <t>Rückstand</t>
  </si>
  <si>
    <t>Durchgang</t>
  </si>
  <si>
    <t>Trockenmasse (g)</t>
  </si>
  <si>
    <t>Steine/Ciottoli</t>
  </si>
  <si>
    <t>Kies/Ghiaia</t>
  </si>
  <si>
    <t>Sand/Sabbia</t>
  </si>
  <si>
    <t>Schluff/Limo+Ton</t>
  </si>
  <si>
    <t>CP</t>
  </si>
  <si>
    <t>BESCHEINIGUNG/CERTIFICAZIONE NR.:</t>
  </si>
  <si>
    <t>ANNAHMEDATUM/DATA ACCETTAZIONE:</t>
  </si>
  <si>
    <t>VERSUCH DATUM/DATA PROVA :</t>
  </si>
  <si>
    <t>dr. F. Shams</t>
  </si>
  <si>
    <t>Via del Garda, 46/L-Tel. 0464913102</t>
  </si>
  <si>
    <t>38068 - Rovereto (TN)</t>
  </si>
  <si>
    <t>Classificazione aggregati per calcestruzzo</t>
  </si>
  <si>
    <t>PROJEKT/PROGETTO:</t>
  </si>
  <si>
    <t>D =</t>
  </si>
  <si>
    <t>Modulo Gros/Finez =</t>
  </si>
  <si>
    <r>
      <t xml:space="preserve">DENOMINAZIONE: </t>
    </r>
    <r>
      <rPr>
        <sz val="12"/>
        <rFont val="Arial"/>
        <family val="2"/>
      </rPr>
      <t>Aggregato fine naturale</t>
    </r>
  </si>
  <si>
    <r>
      <t xml:space="preserve">DESIGNAZIONE: </t>
    </r>
    <r>
      <rPr>
        <sz val="12"/>
        <rFont val="Arial"/>
        <family val="2"/>
      </rPr>
      <t>Aggregato fine naturale</t>
    </r>
  </si>
  <si>
    <t>Classificazione Generale UNI-EN 12620</t>
  </si>
  <si>
    <t>sabbia di natura porfirica di colore marrone con ghiaino spigoloso prev. porfido</t>
  </si>
  <si>
    <t>VERBALE ACCETTAZIONE NR: 19/24.02.2026</t>
  </si>
  <si>
    <t>(prelievo del 24.02.2026)</t>
  </si>
  <si>
    <r>
      <t>Categoria: G</t>
    </r>
    <r>
      <rPr>
        <vertAlign val="subscript"/>
        <sz val="10"/>
        <rFont val="Arial"/>
        <family val="2"/>
      </rPr>
      <t>F</t>
    </r>
    <r>
      <rPr>
        <sz val="10"/>
        <rFont val="Arial"/>
        <family val="2"/>
      </rPr>
      <t xml:space="preserve"> 85</t>
    </r>
  </si>
  <si>
    <t>SPERIMENTATORE</t>
  </si>
  <si>
    <t>R. Mattuzzi</t>
  </si>
  <si>
    <r>
      <t>Fini: f</t>
    </r>
    <r>
      <rPr>
        <vertAlign val="subscript"/>
        <sz val="10"/>
        <rFont val="Arial"/>
        <family val="2"/>
      </rPr>
      <t>3</t>
    </r>
  </si>
  <si>
    <t>19/85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</si>
</sst>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"/>
    <numFmt numFmtId="165" formatCode="0.000"/>
    <numFmt numFmtId="166" formatCode="0.0000"/>
    <numFmt numFmtId="167" formatCode="0.0"/>
    <numFmt numFmtId="168" formatCode="dd/mm/yy;@"/>
  </numFmts>
  <fonts count="34" x14ac:knownFonts="1">
    <font>
      <sz val="10"/>
      <name val="Helv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sz val="10"/>
      <name val="Helv"/>
    </font>
    <font>
      <sz val="8"/>
      <name val="Helv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vertAlign val="subscript"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3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6" fillId="11" borderId="1" applyNumberFormat="0" applyAlignment="0" applyProtection="0"/>
    <xf numFmtId="0" fontId="17" fillId="0" borderId="2" applyNumberFormat="0" applyFill="0" applyAlignment="0" applyProtection="0"/>
    <xf numFmtId="0" fontId="18" fillId="12" borderId="3" applyNumberFormat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9" fillId="7" borderId="1" applyNumberFormat="0" applyAlignment="0" applyProtection="0"/>
    <xf numFmtId="0" fontId="20" fillId="7" borderId="0" applyNumberFormat="0" applyBorder="0" applyAlignment="0" applyProtection="0"/>
    <xf numFmtId="0" fontId="1" fillId="4" borderId="4" applyNumberFormat="0" applyFont="0" applyAlignment="0" applyProtection="0"/>
    <xf numFmtId="0" fontId="21" fillId="11" borderId="5" applyNumberFormat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7" borderId="0" applyNumberFormat="0" applyBorder="0" applyAlignment="0" applyProtection="0"/>
    <xf numFmtId="0" fontId="29" fillId="6" borderId="0" applyNumberFormat="0" applyBorder="0" applyAlignment="0" applyProtection="0"/>
  </cellStyleXfs>
  <cellXfs count="188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5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6" fillId="18" borderId="0" xfId="0" applyNumberFormat="1" applyFont="1" applyFill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18" borderId="12" xfId="0" applyNumberFormat="1" applyFont="1" applyFill="1" applyBorder="1" applyAlignment="1">
      <alignment horizontal="center"/>
    </xf>
    <xf numFmtId="2" fontId="3" fillId="19" borderId="12" xfId="0" applyNumberFormat="1" applyFont="1" applyFill="1" applyBorder="1" applyAlignment="1">
      <alignment horizontal="center"/>
    </xf>
    <xf numFmtId="2" fontId="6" fillId="0" borderId="12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7" fillId="0" borderId="0" xfId="0" applyFont="1"/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11" xfId="0" applyNumberFormat="1" applyFont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3" xfId="0" applyBorder="1"/>
    <xf numFmtId="0" fontId="3" fillId="0" borderId="13" xfId="0" applyFont="1" applyBorder="1"/>
    <xf numFmtId="0" fontId="0" fillId="0" borderId="14" xfId="0" applyBorder="1"/>
    <xf numFmtId="2" fontId="3" fillId="0" borderId="15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4" xfId="0" applyFont="1" applyBorder="1"/>
    <xf numFmtId="2" fontId="5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7" fontId="3" fillId="18" borderId="17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167" fontId="3" fillId="18" borderId="18" xfId="0" applyNumberFormat="1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2" fontId="3" fillId="19" borderId="15" xfId="0" applyNumberFormat="1" applyFont="1" applyFill="1" applyBorder="1" applyAlignment="1">
      <alignment horizontal="left"/>
    </xf>
    <xf numFmtId="167" fontId="3" fillId="18" borderId="14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5" xfId="0" applyNumberFormat="1" applyFont="1" applyBorder="1" applyAlignment="1">
      <alignment horizontal="left"/>
    </xf>
    <xf numFmtId="2" fontId="3" fillId="0" borderId="13" xfId="0" applyNumberFormat="1" applyFont="1" applyBorder="1" applyAlignment="1">
      <alignment horizontal="left"/>
    </xf>
    <xf numFmtId="2" fontId="3" fillId="0" borderId="18" xfId="0" applyNumberFormat="1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0" fontId="13" fillId="0" borderId="0" xfId="0" applyFont="1"/>
    <xf numFmtId="1" fontId="13" fillId="0" borderId="0" xfId="0" applyNumberFormat="1" applyFont="1"/>
    <xf numFmtId="165" fontId="3" fillId="0" borderId="14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2" fontId="2" fillId="0" borderId="15" xfId="0" applyNumberFormat="1" applyFont="1" applyBorder="1" applyAlignment="1">
      <alignment horizontal="left"/>
    </xf>
    <xf numFmtId="167" fontId="2" fillId="0" borderId="13" xfId="0" applyNumberFormat="1" applyFont="1" applyBorder="1" applyAlignment="1">
      <alignment horizont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1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168" fontId="3" fillId="0" borderId="0" xfId="0" applyNumberFormat="1" applyFont="1" applyAlignment="1">
      <alignment vertical="center"/>
    </xf>
    <xf numFmtId="2" fontId="2" fillId="0" borderId="0" xfId="0" applyNumberFormat="1" applyFont="1"/>
    <xf numFmtId="1" fontId="2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" fontId="6" fillId="0" borderId="17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0" fontId="1" fillId="0" borderId="14" xfId="0" applyFont="1" applyBorder="1" applyAlignment="1">
      <alignment horizontal="center"/>
    </xf>
    <xf numFmtId="2" fontId="3" fillId="0" borderId="19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0" fontId="0" fillId="0" borderId="15" xfId="0" applyBorder="1"/>
    <xf numFmtId="167" fontId="3" fillId="0" borderId="14" xfId="0" applyNumberFormat="1" applyFont="1" applyBorder="1" applyAlignment="1">
      <alignment horizontal="center" vertical="center"/>
    </xf>
    <xf numFmtId="167" fontId="31" fillId="0" borderId="16" xfId="0" applyNumberFormat="1" applyFont="1" applyBorder="1" applyAlignment="1">
      <alignment horizontal="center"/>
    </xf>
    <xf numFmtId="167" fontId="31" fillId="0" borderId="18" xfId="0" applyNumberFormat="1" applyFont="1" applyBorder="1" applyAlignment="1">
      <alignment horizontal="center"/>
    </xf>
    <xf numFmtId="1" fontId="2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" fontId="30" fillId="0" borderId="0" xfId="0" applyNumberFormat="1" applyFont="1" applyAlignment="1">
      <alignment vertical="center"/>
    </xf>
    <xf numFmtId="2" fontId="3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14" fontId="3" fillId="0" borderId="0" xfId="0" applyNumberFormat="1" applyFont="1"/>
    <xf numFmtId="0" fontId="10" fillId="0" borderId="20" xfId="0" applyFont="1" applyBorder="1"/>
    <xf numFmtId="0" fontId="3" fillId="0" borderId="0" xfId="0" applyFont="1" applyAlignment="1">
      <alignment horizontal="right" vertical="center"/>
    </xf>
    <xf numFmtId="0" fontId="2" fillId="0" borderId="11" xfId="0" applyFont="1" applyBorder="1" applyAlignment="1">
      <alignment vertical="center"/>
    </xf>
    <xf numFmtId="2" fontId="32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horizontal="left" vertical="center"/>
    </xf>
    <xf numFmtId="167" fontId="2" fillId="0" borderId="1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1" fontId="3" fillId="0" borderId="18" xfId="0" applyNumberFormat="1" applyFont="1" applyBorder="1" applyAlignment="1">
      <alignment horizontal="center" vertical="center"/>
    </xf>
    <xf numFmtId="167" fontId="2" fillId="0" borderId="23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0" fontId="9" fillId="0" borderId="13" xfId="0" applyFont="1" applyBorder="1"/>
    <xf numFmtId="0" fontId="3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7" fontId="9" fillId="0" borderId="13" xfId="0" applyNumberFormat="1" applyFont="1" applyBorder="1" applyAlignment="1">
      <alignment horizontal="center"/>
    </xf>
    <xf numFmtId="167" fontId="3" fillId="18" borderId="15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6" fillId="0" borderId="20" xfId="0" applyFont="1" applyBorder="1" applyAlignment="1">
      <alignment horizont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0" xfId="0" applyFont="1"/>
    <xf numFmtId="165" fontId="6" fillId="0" borderId="20" xfId="0" applyNumberFormat="1" applyFont="1" applyBorder="1" applyAlignment="1">
      <alignment horizontal="left"/>
    </xf>
    <xf numFmtId="165" fontId="3" fillId="0" borderId="20" xfId="0" applyNumberFormat="1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2" fontId="4" fillId="0" borderId="15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1" fontId="3" fillId="0" borderId="15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6" fillId="0" borderId="20" xfId="0" applyNumberFormat="1" applyFont="1" applyBorder="1" applyAlignment="1">
      <alignment horizontal="left"/>
    </xf>
    <xf numFmtId="0" fontId="3" fillId="0" borderId="20" xfId="0" applyFont="1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47538183229115E-2"/>
          <c:y val="3.501097832648635E-2"/>
          <c:w val="0.90092970053060961"/>
          <c:h val="0.8884035750345911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Foglio2!$B$24:$B$40</c:f>
              <c:numCache>
                <c:formatCode>0.000</c:formatCode>
                <c:ptCount val="17"/>
                <c:pt idx="0">
                  <c:v>90</c:v>
                </c:pt>
                <c:pt idx="1">
                  <c:v>63</c:v>
                </c:pt>
                <c:pt idx="2">
                  <c:v>56</c:v>
                </c:pt>
                <c:pt idx="3">
                  <c:v>45</c:v>
                </c:pt>
                <c:pt idx="4">
                  <c:v>31.5</c:v>
                </c:pt>
                <c:pt idx="5">
                  <c:v>22.4</c:v>
                </c:pt>
                <c:pt idx="6">
                  <c:v>16</c:v>
                </c:pt>
                <c:pt idx="7">
                  <c:v>11.2</c:v>
                </c:pt>
                <c:pt idx="8">
                  <c:v>8</c:v>
                </c:pt>
                <c:pt idx="9">
                  <c:v>5.6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0.125</c:v>
                </c:pt>
                <c:pt idx="16">
                  <c:v>6.3E-2</c:v>
                </c:pt>
              </c:numCache>
            </c:numRef>
          </c:xVal>
          <c:yVal>
            <c:numRef>
              <c:f>Foglio2!$F$24:$F$40</c:f>
              <c:numCache>
                <c:formatCode>0.0</c:formatCode>
                <c:ptCount val="17"/>
                <c:pt idx="8">
                  <c:v>100</c:v>
                </c:pt>
                <c:pt idx="9">
                  <c:v>99.336717428087979</c:v>
                </c:pt>
                <c:pt idx="10">
                  <c:v>94.937394247038924</c:v>
                </c:pt>
                <c:pt idx="11">
                  <c:v>68.974619289340097</c:v>
                </c:pt>
                <c:pt idx="12">
                  <c:v>46.382402707275801</c:v>
                </c:pt>
                <c:pt idx="13">
                  <c:v>29.285956006768188</c:v>
                </c:pt>
                <c:pt idx="14">
                  <c:v>15.708967851099843</c:v>
                </c:pt>
                <c:pt idx="15">
                  <c:v>6.8697123519458643</c:v>
                </c:pt>
                <c:pt idx="16">
                  <c:v>1.6311336717428162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6-46C2-AB60-17674430CFE1}"/>
            </c:ext>
          </c:extLst>
        </c:ser>
        <c:ser>
          <c:idx val="2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Foglio1!$D$17:$D$18</c:f>
              <c:numCache>
                <c:formatCode>0.000</c:formatCode>
                <c:ptCount val="2"/>
              </c:numCache>
            </c:numRef>
          </c:xVal>
          <c:yVal>
            <c:numRef>
              <c:f>Foglio1!$E$17:$E$18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6-46C2-AB60-17674430CFE1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Foglio1!$D$19:$D$20</c:f>
              <c:numCache>
                <c:formatCode>0.000</c:formatCode>
                <c:ptCount val="2"/>
              </c:numCache>
            </c:numRef>
          </c:xVal>
          <c:yVal>
            <c:numRef>
              <c:f>Foglio1!$E$19:$E$20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6-46C2-AB60-17674430CFE1}"/>
            </c:ext>
          </c:extLst>
        </c:ser>
        <c:ser>
          <c:idx val="4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Foglio1!$D$21:$D$22</c:f>
              <c:numCache>
                <c:formatCode>0.000</c:formatCode>
                <c:ptCount val="2"/>
              </c:numCache>
            </c:numRef>
          </c:xVal>
          <c:yVal>
            <c:numRef>
              <c:f>Foglio1!$E$21:$E$22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E6-46C2-AB60-17674430CFE1}"/>
            </c:ext>
          </c:extLst>
        </c:ser>
        <c:ser>
          <c:idx val="5"/>
          <c:order val="4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Foglio1!$D$23:$D$24</c:f>
              <c:numCache>
                <c:formatCode>0.000</c:formatCode>
                <c:ptCount val="2"/>
              </c:numCache>
            </c:numRef>
          </c:xVal>
          <c:yVal>
            <c:numRef>
              <c:f>Foglio1!$E$23:$E$24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E6-46C2-AB60-17674430CFE1}"/>
            </c:ext>
          </c:extLst>
        </c:ser>
        <c:ser>
          <c:idx val="6"/>
          <c:order val="5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Foglio1!$D$25:$D$26</c:f>
              <c:numCache>
                <c:formatCode>0.000</c:formatCode>
                <c:ptCount val="2"/>
              </c:numCache>
            </c:numRef>
          </c:xVal>
          <c:yVal>
            <c:numRef>
              <c:f>Foglio1!$E$25:$E$26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E6-46C2-AB60-17674430CFE1}"/>
            </c:ext>
          </c:extLst>
        </c:ser>
        <c:ser>
          <c:idx val="7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Foglio1!$D$27:$D$28</c:f>
              <c:numCache>
                <c:formatCode>0.000</c:formatCode>
                <c:ptCount val="2"/>
              </c:numCache>
            </c:numRef>
          </c:xVal>
          <c:yVal>
            <c:numRef>
              <c:f>Foglio1!$E$27:$E$28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E6-46C2-AB60-17674430CFE1}"/>
            </c:ext>
          </c:extLst>
        </c:ser>
        <c:ser>
          <c:idx val="8"/>
          <c:order val="7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Foglio1!$D$29:$D$30</c:f>
              <c:numCache>
                <c:formatCode>0.000</c:formatCode>
                <c:ptCount val="2"/>
              </c:numCache>
            </c:numRef>
          </c:xVal>
          <c:yVal>
            <c:numRef>
              <c:f>Foglio1!$E$29:$E$30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E6-46C2-AB60-17674430CFE1}"/>
            </c:ext>
          </c:extLst>
        </c:ser>
        <c:ser>
          <c:idx val="10"/>
          <c:order val="8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Foglio1!$D$33:$D$34</c:f>
              <c:numCache>
                <c:formatCode>0.000</c:formatCode>
                <c:ptCount val="2"/>
              </c:numCache>
            </c:numRef>
          </c:xVal>
          <c:yVal>
            <c:numRef>
              <c:f>Foglio1!$E$33:$E$34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E6-46C2-AB60-17674430CFE1}"/>
            </c:ext>
          </c:extLst>
        </c:ser>
        <c:ser>
          <c:idx val="11"/>
          <c:order val="9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Foglio1!$D$35:$D$36</c:f>
              <c:numCache>
                <c:formatCode>0.000</c:formatCode>
                <c:ptCount val="2"/>
              </c:numCache>
            </c:numRef>
          </c:xVal>
          <c:yVal>
            <c:numRef>
              <c:f>Foglio1!$E$35:$E$36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DE6-46C2-AB60-17674430C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97512"/>
        <c:axId val="1"/>
      </c:scatterChart>
      <c:valAx>
        <c:axId val="571297512"/>
        <c:scaling>
          <c:logBase val="10"/>
          <c:orientation val="minMax"/>
          <c:max val="100"/>
          <c:min val="1E-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571297512"/>
        <c:crossesAt val="1E-3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&amp;F</c:oddHeader>
      <c:oddFooter>Pagina &amp;P</c:oddFoot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11</xdr:row>
      <xdr:rowOff>4233</xdr:rowOff>
    </xdr:from>
    <xdr:to>
      <xdr:col>50</xdr:col>
      <xdr:colOff>133350</xdr:colOff>
      <xdr:row>37</xdr:row>
      <xdr:rowOff>143933</xdr:rowOff>
    </xdr:to>
    <xdr:graphicFrame macro="">
      <xdr:nvGraphicFramePr>
        <xdr:cNvPr id="1352" name="Grafico 1">
          <a:extLst>
            <a:ext uri="{FF2B5EF4-FFF2-40B4-BE49-F238E27FC236}">
              <a16:creationId xmlns:a16="http://schemas.microsoft.com/office/drawing/2014/main" id="{B117D314-D151-D64F-B25D-C438F5100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0.01085</cdr:x>
      <cdr:y>0.15544</cdr:y>
    </cdr:from>
    <cdr:to>
      <cdr:x>0.02497</cdr:x>
      <cdr:y>0.95398</cdr:y>
    </cdr:to>
    <cdr:sp macro="" textlink="">
      <cdr:nvSpPr>
        <cdr:cNvPr id="2049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9351" y="870595"/>
          <a:ext cx="129250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PASSANTE</a:t>
          </a: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  <cdr:relSizeAnchor xmlns:cdr="http://schemas.openxmlformats.org/drawingml/2006/chartDrawing">
    <cdr:from>
      <cdr:x>0.86398</cdr:x>
      <cdr:y>0.95432</cdr:y>
    </cdr:from>
    <cdr:to>
      <cdr:x>0.89861</cdr:x>
      <cdr:y>0.98219</cdr:y>
    </cdr:to>
    <cdr:sp macro="" textlink="">
      <cdr:nvSpPr>
        <cdr:cNvPr id="2050" name="Tes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4932" y="4116375"/>
          <a:ext cx="333756" cy="162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cdr:txBody>
    </cdr:sp>
  </cdr:relSizeAnchor>
  <cdr:relSizeAnchor xmlns:cdr="http://schemas.openxmlformats.org/drawingml/2006/chartDrawing">
    <cdr:from>
      <cdr:x>0.97965</cdr:x>
      <cdr:y>0.1828</cdr:y>
    </cdr:from>
    <cdr:to>
      <cdr:x>0.98063</cdr:x>
      <cdr:y>0.93267</cdr:y>
    </cdr:to>
    <cdr:sp macro="" textlink="">
      <cdr:nvSpPr>
        <cdr:cNvPr id="2051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89782" y="870595"/>
          <a:ext cx="130953" cy="25662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TRATTENUTO</a:t>
          </a: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8"/>
  <sheetViews>
    <sheetView zoomScaleNormal="100" workbookViewId="0">
      <selection activeCell="BI7" sqref="BI7"/>
    </sheetView>
  </sheetViews>
  <sheetFormatPr defaultRowHeight="12.75" x14ac:dyDescent="0.2"/>
  <cols>
    <col min="1" max="5" width="2.7109375" customWidth="1"/>
    <col min="6" max="6" width="3" customWidth="1"/>
    <col min="7" max="7" width="4.28515625" customWidth="1"/>
    <col min="8" max="8" width="1.5703125" customWidth="1"/>
    <col min="9" max="9" width="2.7109375" customWidth="1"/>
    <col min="10" max="10" width="3.140625" customWidth="1"/>
    <col min="11" max="11" width="3.28515625" customWidth="1"/>
    <col min="12" max="12" width="3" customWidth="1"/>
    <col min="13" max="14" width="3.42578125" customWidth="1"/>
    <col min="15" max="16" width="2.7109375" customWidth="1"/>
    <col min="17" max="17" width="2.28515625" customWidth="1"/>
    <col min="18" max="18" width="1.7109375" customWidth="1"/>
    <col min="19" max="19" width="2.42578125" customWidth="1"/>
    <col min="20" max="22" width="2.7109375" customWidth="1"/>
    <col min="23" max="23" width="2.7109375" style="7" customWidth="1"/>
    <col min="24" max="24" width="2.28515625" style="7" customWidth="1"/>
    <col min="25" max="28" width="2.7109375" style="7" customWidth="1"/>
    <col min="29" max="29" width="1.140625" style="7" customWidth="1"/>
    <col min="30" max="30" width="2.7109375" style="7" customWidth="1"/>
    <col min="31" max="31" width="2" style="7" customWidth="1"/>
    <col min="32" max="32" width="2.140625" style="7" customWidth="1"/>
    <col min="33" max="33" width="2.7109375" style="7" customWidth="1"/>
    <col min="34" max="34" width="3.42578125" style="7" customWidth="1"/>
    <col min="35" max="37" width="2.7109375" style="7" customWidth="1"/>
    <col min="38" max="38" width="3.85546875" customWidth="1"/>
    <col min="39" max="42" width="2.7109375" customWidth="1"/>
    <col min="43" max="43" width="2.28515625" customWidth="1"/>
    <col min="44" max="45" width="2.7109375" style="7" customWidth="1"/>
    <col min="46" max="46" width="3.5703125" style="7" customWidth="1"/>
    <col min="47" max="47" width="2.85546875" style="7" customWidth="1"/>
    <col min="48" max="52" width="2.7109375" style="7" customWidth="1"/>
    <col min="53" max="56" width="9.140625" style="7"/>
  </cols>
  <sheetData>
    <row r="1" spans="1:51" ht="12.95" customHeight="1" x14ac:dyDescent="0.2">
      <c r="A1" s="89" t="s">
        <v>35</v>
      </c>
      <c r="AP1" s="184" t="s">
        <v>28</v>
      </c>
      <c r="AQ1" s="185"/>
      <c r="AR1" s="185"/>
      <c r="AS1" s="185"/>
      <c r="AT1" s="185"/>
      <c r="AU1" s="185"/>
      <c r="AV1" s="185"/>
      <c r="AW1" s="185"/>
      <c r="AX1" s="185"/>
    </row>
    <row r="2" spans="1:51" ht="17.100000000000001" customHeight="1" x14ac:dyDescent="0.2">
      <c r="A2" s="173" t="str">
        <f>Foglio2!A2</f>
        <v>VERBALE ACCETTAZIONE NR: 19/24.02.2026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4"/>
      <c r="N2" s="174"/>
      <c r="Q2" s="7"/>
      <c r="R2" s="7"/>
      <c r="S2" s="7"/>
      <c r="T2" s="7"/>
      <c r="U2" s="7"/>
      <c r="V2" s="7"/>
      <c r="W2" s="153" t="str">
        <f>Foglio2!E8</f>
        <v>Classificazione Generale UNI-EN 12620</v>
      </c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38"/>
      <c r="AO2" s="38"/>
      <c r="AP2" s="185"/>
      <c r="AQ2" s="185"/>
      <c r="AR2" s="185"/>
      <c r="AS2" s="185"/>
      <c r="AT2" s="185"/>
      <c r="AU2" s="185"/>
      <c r="AV2" s="185"/>
      <c r="AW2" s="185"/>
      <c r="AX2" s="185"/>
    </row>
    <row r="3" spans="1:51" ht="18" x14ac:dyDescent="0.25">
      <c r="A3" s="47" t="s">
        <v>36</v>
      </c>
      <c r="B3" s="16"/>
      <c r="C3" s="17"/>
      <c r="D3" s="17"/>
      <c r="E3" s="18"/>
      <c r="F3" s="18"/>
      <c r="G3" s="18"/>
      <c r="H3" s="18"/>
      <c r="I3" s="7"/>
      <c r="J3" s="7"/>
      <c r="K3" s="7"/>
      <c r="L3" s="7"/>
      <c r="M3" s="7"/>
      <c r="N3" s="7"/>
      <c r="O3" s="7"/>
      <c r="P3" s="7"/>
      <c r="W3" s="178" t="str">
        <f>Foglio2!E9</f>
        <v>Categoria: GF 85</v>
      </c>
      <c r="X3" s="179"/>
      <c r="Y3" s="179"/>
      <c r="Z3" s="179"/>
      <c r="AA3" s="179"/>
      <c r="AB3" s="179"/>
      <c r="AC3" s="179"/>
      <c r="AD3" s="179"/>
      <c r="AE3" s="179"/>
      <c r="AF3" s="156"/>
      <c r="AG3" s="155" t="str">
        <f>Foglio2!F9</f>
        <v>Fini: f3</v>
      </c>
      <c r="AH3" s="179"/>
      <c r="AI3" s="179"/>
      <c r="AJ3" s="179"/>
      <c r="AK3" s="179"/>
      <c r="AL3" s="179"/>
      <c r="AM3" s="156"/>
      <c r="AP3" s="79"/>
      <c r="AQ3" s="79"/>
      <c r="AR3" s="81"/>
      <c r="AS3" s="90"/>
      <c r="AT3" s="77" t="s">
        <v>60</v>
      </c>
      <c r="AU3" s="81"/>
      <c r="AV3" s="81"/>
      <c r="AW3" s="81"/>
      <c r="AX3" s="81"/>
    </row>
    <row r="4" spans="1:51" ht="18" x14ac:dyDescent="0.25">
      <c r="A4" s="15" t="s">
        <v>20</v>
      </c>
      <c r="B4" s="16"/>
      <c r="C4" s="17"/>
      <c r="D4" s="17"/>
      <c r="E4" s="18"/>
      <c r="F4" s="18"/>
      <c r="G4" s="18"/>
      <c r="H4" s="18"/>
      <c r="I4" s="7"/>
      <c r="J4" s="7"/>
      <c r="K4" s="7"/>
      <c r="L4" s="7"/>
      <c r="N4" s="7"/>
      <c r="O4" s="7"/>
      <c r="P4" s="7"/>
      <c r="AL4" s="38"/>
      <c r="AM4" s="38"/>
      <c r="AN4" s="38"/>
      <c r="AP4" s="79"/>
      <c r="AQ4" s="79"/>
      <c r="AR4" s="77"/>
      <c r="AS4" s="77"/>
      <c r="AT4" s="77" t="s">
        <v>61</v>
      </c>
      <c r="AU4" s="81"/>
      <c r="AV4" s="81"/>
      <c r="AW4" s="81"/>
      <c r="AX4" s="81"/>
    </row>
    <row r="5" spans="1:51" ht="17.25" customHeight="1" x14ac:dyDescent="0.2">
      <c r="A5" s="70" t="str">
        <f>Foglio2!A11</f>
        <v xml:space="preserve">AUFTRAGGEBER/COMMITT.: 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128" t="str">
        <f>Foglio2!D11</f>
        <v>ANTON MAIER G.m.b.H/S.r.l.</v>
      </c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70" t="str">
        <f>Foglio2!A14</f>
        <v>PROBE/CAMP.:</v>
      </c>
      <c r="AC5" s="81"/>
      <c r="AD5" s="81"/>
      <c r="AE5" s="81"/>
      <c r="AF5" s="81"/>
      <c r="AG5" s="81"/>
      <c r="AH5" s="120" t="str">
        <f>Foglio2!D14</f>
        <v>Cod. 010</v>
      </c>
      <c r="AK5" s="86"/>
      <c r="AL5" s="81"/>
      <c r="AM5" s="81"/>
      <c r="AN5" s="81"/>
      <c r="AO5" s="81"/>
      <c r="AP5" s="81"/>
      <c r="AQ5" s="81"/>
      <c r="AR5" s="81"/>
      <c r="AS5" s="81"/>
      <c r="AT5" s="91"/>
      <c r="AU5" s="81"/>
      <c r="AW5" s="18"/>
    </row>
    <row r="6" spans="1:51" ht="17.25" customHeight="1" x14ac:dyDescent="0.2">
      <c r="A6" s="70" t="str">
        <f>Foglio2!A12</f>
        <v xml:space="preserve">ORT/LOCALITA':  </v>
      </c>
      <c r="B6" s="70"/>
      <c r="C6" s="83"/>
      <c r="D6" s="84"/>
      <c r="E6" s="79"/>
      <c r="F6" s="83"/>
      <c r="G6" s="81"/>
      <c r="H6" s="85">
        <f>Foglio2!C12</f>
        <v>0</v>
      </c>
      <c r="I6" s="79"/>
      <c r="J6" s="79"/>
      <c r="K6" s="79"/>
      <c r="L6" s="121" t="str">
        <f>Foglio2!D12</f>
        <v>Schotterwerk Bozen/inerti Bolzano</v>
      </c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70"/>
      <c r="AB6" s="116"/>
      <c r="AC6" s="81"/>
      <c r="AD6" s="81"/>
      <c r="AE6" s="81"/>
      <c r="AF6" s="81"/>
      <c r="AG6" s="81"/>
      <c r="AH6" s="121" t="str">
        <f>Foglio2!D15</f>
        <v>DENOMINAZIONE: Aggregato fine naturale</v>
      </c>
      <c r="AK6" s="88"/>
      <c r="AL6" s="81"/>
      <c r="AM6" s="81"/>
      <c r="AN6" s="81"/>
      <c r="AO6" s="81"/>
      <c r="AP6" s="74"/>
      <c r="AQ6" s="81"/>
      <c r="AR6" s="81"/>
      <c r="AS6" s="81"/>
      <c r="AT6" s="81"/>
      <c r="AU6" s="81"/>
      <c r="AW6" s="70" t="str">
        <f>Foglio2!G15</f>
        <v>0/4 mm</v>
      </c>
    </row>
    <row r="7" spans="1:51" ht="15" x14ac:dyDescent="0.2">
      <c r="A7" s="70" t="str">
        <f>Foglio2!A13</f>
        <v>PROJEKT/PROGETTO:</v>
      </c>
      <c r="B7" s="79"/>
      <c r="C7" s="79"/>
      <c r="D7" s="79"/>
      <c r="E7" s="79"/>
      <c r="F7" s="79"/>
      <c r="G7" s="79"/>
      <c r="H7" s="85"/>
      <c r="I7" s="79"/>
      <c r="J7" s="79"/>
      <c r="K7" s="79"/>
      <c r="L7" s="121" t="str">
        <f>Foglio2!D13</f>
        <v>Classificazione aggregati per calcestruzzo</v>
      </c>
      <c r="N7" s="81"/>
      <c r="O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70"/>
      <c r="AB7" s="81"/>
      <c r="AC7" s="81"/>
      <c r="AD7" s="81"/>
      <c r="AE7" s="81"/>
      <c r="AG7" s="81"/>
      <c r="AH7" s="121" t="str">
        <f>Foglio2!D16</f>
        <v>DESIGNAZIONE: Aggregato fine naturale</v>
      </c>
      <c r="AK7" s="81"/>
      <c r="AL7" s="81"/>
      <c r="AM7" s="81"/>
      <c r="AN7" s="81"/>
      <c r="AO7" s="81"/>
      <c r="AP7" s="97"/>
      <c r="AQ7" s="81"/>
      <c r="AR7" s="81"/>
      <c r="AS7" s="81"/>
      <c r="AT7" s="81"/>
      <c r="AU7" s="89"/>
      <c r="AW7" s="116" t="str">
        <f>Foglio2!G16</f>
        <v>0/4 mm</v>
      </c>
    </row>
    <row r="8" spans="1:51" ht="15.75" x14ac:dyDescent="0.25">
      <c r="A8" s="127" t="str">
        <f>Foglio2!A18</f>
        <v>BESCHREIBUNG/DESCRIZIONE: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1" t="str">
        <f>Foglio2!D18</f>
        <v>sabbia di natura porfirica di colore marrone con ghiaino spigoloso prev. porfido</v>
      </c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92"/>
      <c r="Z8" s="81"/>
      <c r="AA8" s="87"/>
      <c r="AB8" s="81"/>
      <c r="AC8" s="92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81"/>
      <c r="AS8" s="92"/>
      <c r="AT8" s="81"/>
      <c r="AU8" s="92"/>
      <c r="AV8" s="64"/>
      <c r="AW8" s="65"/>
      <c r="AX8" s="64"/>
      <c r="AY8" s="33"/>
    </row>
    <row r="9" spans="1:51" x14ac:dyDescent="0.2">
      <c r="A9" s="159" t="s">
        <v>4</v>
      </c>
      <c r="B9" s="160"/>
      <c r="C9" s="160"/>
      <c r="D9" s="160"/>
      <c r="E9" s="160"/>
      <c r="F9" s="161"/>
      <c r="G9" s="162" t="s">
        <v>5</v>
      </c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4"/>
      <c r="T9" s="175" t="s">
        <v>6</v>
      </c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4"/>
      <c r="AI9" s="162" t="s">
        <v>7</v>
      </c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4"/>
      <c r="AV9" s="162" t="s">
        <v>8</v>
      </c>
      <c r="AW9" s="186"/>
      <c r="AX9" s="186"/>
      <c r="AY9" s="187"/>
    </row>
    <row r="10" spans="1:51" x14ac:dyDescent="0.2">
      <c r="A10" s="42"/>
      <c r="B10" s="43"/>
      <c r="C10" s="44"/>
      <c r="D10" s="39"/>
      <c r="E10" s="39"/>
      <c r="F10" s="41"/>
      <c r="G10" s="159" t="s">
        <v>9</v>
      </c>
      <c r="H10" s="163"/>
      <c r="I10" s="163"/>
      <c r="J10" s="164"/>
      <c r="K10" s="162" t="s">
        <v>10</v>
      </c>
      <c r="L10" s="163"/>
      <c r="M10" s="163"/>
      <c r="N10" s="163"/>
      <c r="O10" s="175" t="s">
        <v>11</v>
      </c>
      <c r="P10" s="163"/>
      <c r="Q10" s="163"/>
      <c r="R10" s="163"/>
      <c r="S10" s="164"/>
      <c r="T10" s="175" t="s">
        <v>9</v>
      </c>
      <c r="U10" s="163"/>
      <c r="V10" s="163"/>
      <c r="W10" s="163"/>
      <c r="X10" s="164"/>
      <c r="Y10" s="175" t="s">
        <v>10</v>
      </c>
      <c r="Z10" s="176"/>
      <c r="AA10" s="176"/>
      <c r="AB10" s="176"/>
      <c r="AC10" s="177"/>
      <c r="AD10" s="162" t="s">
        <v>11</v>
      </c>
      <c r="AE10" s="176"/>
      <c r="AF10" s="176"/>
      <c r="AG10" s="176"/>
      <c r="AH10" s="177"/>
      <c r="AI10" s="162" t="s">
        <v>9</v>
      </c>
      <c r="AJ10" s="163"/>
      <c r="AK10" s="163"/>
      <c r="AL10" s="164"/>
      <c r="AM10" s="162" t="s">
        <v>10</v>
      </c>
      <c r="AN10" s="180"/>
      <c r="AO10" s="180"/>
      <c r="AP10" s="180"/>
      <c r="AQ10" s="181"/>
      <c r="AR10" s="162" t="s">
        <v>11</v>
      </c>
      <c r="AS10" s="176"/>
      <c r="AT10" s="176"/>
      <c r="AU10" s="177"/>
      <c r="AV10" s="45"/>
      <c r="AW10" s="40"/>
      <c r="AX10" s="40"/>
      <c r="AY10" s="46"/>
    </row>
    <row r="11" spans="1:51" x14ac:dyDescent="0.2">
      <c r="A11" s="10"/>
      <c r="B11" s="7"/>
      <c r="C11" s="6"/>
      <c r="D11" s="11"/>
      <c r="E11" s="7"/>
      <c r="F11" s="165" t="s">
        <v>14</v>
      </c>
      <c r="G11" s="165"/>
      <c r="H11" s="37"/>
      <c r="I11" s="7"/>
      <c r="J11" s="165" t="s">
        <v>15</v>
      </c>
      <c r="K11" s="165"/>
      <c r="L11" s="11"/>
      <c r="M11" s="7"/>
      <c r="N11" s="7"/>
      <c r="O11" s="125"/>
      <c r="P11" s="7"/>
      <c r="Q11" s="7"/>
      <c r="R11" s="7"/>
      <c r="S11" s="169">
        <v>0.06</v>
      </c>
      <c r="T11" s="170"/>
      <c r="U11" s="7"/>
      <c r="V11" s="7"/>
      <c r="X11" s="171" t="s">
        <v>16</v>
      </c>
      <c r="Y11" s="172"/>
      <c r="AC11" s="182" t="s">
        <v>17</v>
      </c>
      <c r="AD11" s="183"/>
      <c r="AE11" s="12"/>
      <c r="AH11" s="165">
        <v>2</v>
      </c>
      <c r="AI11" s="165"/>
      <c r="AL11" s="165">
        <v>6</v>
      </c>
      <c r="AM11" s="165"/>
      <c r="AN11" s="12"/>
      <c r="AO11" s="7"/>
      <c r="AP11" s="7"/>
      <c r="AQ11" s="168">
        <v>20</v>
      </c>
      <c r="AR11" s="168"/>
      <c r="AU11" s="168">
        <v>60</v>
      </c>
      <c r="AV11" s="165"/>
    </row>
    <row r="12" spans="1:51" x14ac:dyDescent="0.2">
      <c r="N12" s="7"/>
      <c r="O12" s="7"/>
      <c r="P12" s="7"/>
    </row>
    <row r="13" spans="1:51" x14ac:dyDescent="0.2">
      <c r="A13" s="10"/>
      <c r="B13" s="10"/>
      <c r="C13" s="6"/>
      <c r="D13" s="6"/>
      <c r="E13" s="13"/>
      <c r="F13" s="10"/>
      <c r="G13" s="10"/>
      <c r="H13" s="10"/>
      <c r="I13" s="7"/>
      <c r="J13" s="7"/>
      <c r="K13" s="7"/>
      <c r="L13" s="7"/>
      <c r="M13" s="7"/>
      <c r="N13" s="7"/>
      <c r="O13" s="7"/>
      <c r="P13" s="7"/>
    </row>
    <row r="14" spans="1:51" x14ac:dyDescent="0.2">
      <c r="A14" s="10"/>
      <c r="B14" s="10"/>
      <c r="C14" s="6"/>
      <c r="D14" s="6"/>
      <c r="E14" s="13"/>
      <c r="F14" s="10"/>
      <c r="G14" s="10"/>
      <c r="H14" s="10"/>
      <c r="I14" s="7"/>
      <c r="J14" s="7"/>
      <c r="K14" s="7"/>
      <c r="L14" s="7"/>
      <c r="M14" s="7"/>
      <c r="N14" s="7"/>
      <c r="O14" s="7"/>
      <c r="P14" s="7"/>
    </row>
    <row r="15" spans="1:51" x14ac:dyDescent="0.2">
      <c r="A15" s="10"/>
      <c r="B15" s="10"/>
      <c r="C15" s="6"/>
      <c r="D15" s="6"/>
      <c r="E15" s="13"/>
      <c r="F15" s="10"/>
      <c r="G15" s="10"/>
      <c r="H15" s="10"/>
      <c r="I15" s="7"/>
      <c r="J15" s="7"/>
      <c r="K15" s="7"/>
      <c r="L15" s="7"/>
      <c r="M15" s="7"/>
      <c r="N15" s="7"/>
      <c r="O15" s="7"/>
      <c r="P15" s="7"/>
    </row>
    <row r="16" spans="1:51" x14ac:dyDescent="0.2">
      <c r="A16" s="10"/>
      <c r="B16" s="10"/>
      <c r="C16" s="6"/>
      <c r="D16" s="6"/>
      <c r="E16" s="13"/>
      <c r="F16" s="10"/>
      <c r="G16" s="10"/>
      <c r="H16" s="10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10"/>
      <c r="B17" s="10"/>
      <c r="C17" s="6"/>
      <c r="D17" s="14"/>
      <c r="E17" s="13"/>
      <c r="F17" s="10"/>
      <c r="G17" s="10"/>
      <c r="H17" s="10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10"/>
      <c r="B18" s="10"/>
      <c r="C18" s="6"/>
      <c r="D18" s="14"/>
      <c r="E18" s="13"/>
      <c r="F18" s="10"/>
      <c r="G18" s="10"/>
      <c r="H18" s="10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10"/>
      <c r="B19" s="10"/>
      <c r="C19" s="6"/>
      <c r="D19" s="14"/>
      <c r="E19" s="13"/>
      <c r="F19" s="10"/>
      <c r="G19" s="10"/>
      <c r="H19" s="10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0"/>
      <c r="B20" s="10"/>
      <c r="C20" s="6"/>
      <c r="D20" s="14"/>
      <c r="E20" s="13"/>
      <c r="F20" s="10"/>
      <c r="G20" s="10"/>
      <c r="H20" s="10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0"/>
      <c r="B21" s="10"/>
      <c r="C21" s="6"/>
      <c r="D21" s="14"/>
      <c r="E21" s="13"/>
      <c r="F21" s="10"/>
      <c r="G21" s="10"/>
      <c r="H21" s="10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0"/>
      <c r="B22" s="10"/>
      <c r="C22" s="6"/>
      <c r="D22" s="14"/>
      <c r="E22" s="13"/>
      <c r="F22" s="10"/>
      <c r="G22" s="10"/>
      <c r="H22" s="10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10"/>
      <c r="B23" s="10"/>
      <c r="C23" s="6"/>
      <c r="D23" s="14"/>
      <c r="E23" s="13"/>
      <c r="F23" s="10"/>
      <c r="G23" s="10"/>
      <c r="H23" s="10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10"/>
      <c r="B24" s="10"/>
      <c r="C24" s="6"/>
      <c r="D24" s="14"/>
      <c r="E24" s="13"/>
      <c r="F24" s="10"/>
      <c r="G24" s="10"/>
      <c r="H24" s="10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10"/>
      <c r="B25" s="10"/>
      <c r="C25" s="6"/>
      <c r="D25" s="14"/>
      <c r="E25" s="13"/>
      <c r="F25" s="10"/>
      <c r="G25" s="10"/>
      <c r="H25" s="10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10"/>
      <c r="B26" s="10"/>
      <c r="C26" s="6"/>
      <c r="D26" s="14"/>
      <c r="E26" s="13"/>
      <c r="F26" s="10"/>
      <c r="G26" s="10"/>
      <c r="H26" s="10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10"/>
      <c r="B27" s="10"/>
      <c r="C27" s="6"/>
      <c r="D27" s="14"/>
      <c r="E27" s="13"/>
      <c r="F27" s="10"/>
      <c r="G27" s="10"/>
      <c r="H27" s="10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10"/>
      <c r="B28" s="10"/>
      <c r="C28" s="6"/>
      <c r="D28" s="14"/>
      <c r="E28" s="13"/>
      <c r="F28" s="10"/>
      <c r="G28" s="10"/>
      <c r="H28" s="10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10"/>
      <c r="B29" s="10"/>
      <c r="C29" s="6"/>
      <c r="D29" s="14"/>
      <c r="E29" s="13"/>
      <c r="F29" s="10"/>
      <c r="G29" s="10"/>
      <c r="H29" s="10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10"/>
      <c r="B30" s="10"/>
      <c r="C30" s="6"/>
      <c r="D30" s="14"/>
      <c r="E30" s="13"/>
      <c r="F30" s="10"/>
      <c r="G30" s="10"/>
      <c r="H30" s="10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10"/>
      <c r="B31" s="10"/>
      <c r="C31" s="6"/>
      <c r="D31" s="14"/>
      <c r="E31" s="13"/>
      <c r="F31" s="10"/>
      <c r="G31" s="10"/>
      <c r="H31" s="10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10"/>
      <c r="B32" s="10"/>
      <c r="C32" s="6"/>
      <c r="D32" s="14"/>
      <c r="E32" s="13"/>
      <c r="F32" s="10"/>
      <c r="G32" s="10"/>
      <c r="H32" s="10"/>
      <c r="I32" s="7"/>
      <c r="J32" s="7"/>
      <c r="K32" s="7"/>
      <c r="L32" s="7"/>
      <c r="M32" s="7"/>
      <c r="N32" s="7"/>
      <c r="O32" s="7"/>
      <c r="P32" s="7"/>
    </row>
    <row r="33" spans="1:48" x14ac:dyDescent="0.2">
      <c r="A33" s="10"/>
      <c r="B33" s="10"/>
      <c r="C33" s="6"/>
      <c r="D33" s="14"/>
      <c r="E33" s="13"/>
      <c r="F33" s="10"/>
      <c r="G33" s="10"/>
      <c r="H33" s="10"/>
      <c r="I33" s="7"/>
      <c r="J33" s="7"/>
      <c r="K33" s="7"/>
      <c r="L33" s="7"/>
      <c r="M33" s="7"/>
      <c r="N33" s="7"/>
      <c r="O33" s="7"/>
      <c r="P33" s="7"/>
    </row>
    <row r="34" spans="1:48" x14ac:dyDescent="0.2">
      <c r="A34" s="10"/>
      <c r="B34" s="10"/>
      <c r="C34" s="6"/>
      <c r="D34" s="14"/>
      <c r="E34" s="13"/>
      <c r="F34" s="10"/>
      <c r="G34" s="10"/>
      <c r="H34" s="10"/>
      <c r="I34" s="7"/>
      <c r="J34" s="7"/>
      <c r="K34" s="7"/>
      <c r="L34" s="7"/>
      <c r="M34" s="7"/>
      <c r="N34" s="7"/>
      <c r="O34" s="7"/>
      <c r="P34" s="7"/>
    </row>
    <row r="35" spans="1:48" x14ac:dyDescent="0.2">
      <c r="A35" s="10"/>
      <c r="B35" s="10"/>
      <c r="C35" s="6"/>
      <c r="D35" s="14"/>
      <c r="E35" s="13"/>
      <c r="F35" s="10"/>
      <c r="G35" s="10"/>
      <c r="H35" s="10"/>
      <c r="I35" s="7"/>
      <c r="J35" s="7"/>
      <c r="K35" s="7"/>
      <c r="L35" s="7"/>
      <c r="M35" s="7"/>
      <c r="N35" s="7"/>
      <c r="O35" s="7"/>
      <c r="P35" s="7"/>
    </row>
    <row r="36" spans="1:48" x14ac:dyDescent="0.2">
      <c r="A36" s="10"/>
      <c r="B36" s="10"/>
      <c r="C36" s="6"/>
      <c r="D36" s="14"/>
      <c r="E36" s="13"/>
      <c r="F36" s="10"/>
      <c r="G36" s="10"/>
      <c r="H36" s="10"/>
      <c r="I36" s="7"/>
      <c r="J36" s="7"/>
      <c r="K36" s="7"/>
      <c r="L36" s="7"/>
      <c r="M36" s="7"/>
      <c r="N36" s="7"/>
      <c r="O36" s="7"/>
      <c r="P36" s="7"/>
    </row>
    <row r="37" spans="1:48" x14ac:dyDescent="0.2">
      <c r="D37" s="6"/>
      <c r="E37" s="13"/>
      <c r="F37" s="10"/>
      <c r="G37" s="10"/>
      <c r="H37" s="10"/>
      <c r="I37" s="7"/>
      <c r="J37" s="7"/>
      <c r="N37" s="7"/>
      <c r="O37" s="7"/>
      <c r="P37" s="7"/>
    </row>
    <row r="38" spans="1:48" x14ac:dyDescent="0.2">
      <c r="F38" s="7"/>
      <c r="G38" s="7"/>
      <c r="H38" s="7"/>
      <c r="I38" s="7"/>
      <c r="J38" s="7"/>
      <c r="K38" s="7"/>
      <c r="M38" s="7"/>
      <c r="N38" s="7"/>
      <c r="O38" s="7"/>
      <c r="P38" s="7"/>
    </row>
    <row r="39" spans="1:48" x14ac:dyDescent="0.2">
      <c r="A39" s="76" t="str">
        <f>Foglio2!A50</f>
        <v>BESCHEINIGUNG/CERTIFICAZIONE NR.:</v>
      </c>
      <c r="B39" s="78"/>
      <c r="C39" s="83"/>
      <c r="D39" s="81"/>
      <c r="E39" s="79"/>
      <c r="F39" s="81"/>
      <c r="G39" s="81"/>
      <c r="H39" s="81"/>
      <c r="I39" s="77"/>
      <c r="J39" s="94"/>
      <c r="K39" s="94"/>
      <c r="L39" s="81"/>
      <c r="M39" s="81"/>
      <c r="N39" s="76" t="str">
        <f>Foglio2!E50</f>
        <v>19/85</v>
      </c>
      <c r="O39" s="77"/>
      <c r="P39" s="77"/>
      <c r="Q39" s="77"/>
      <c r="R39" s="81"/>
      <c r="S39" s="81"/>
      <c r="T39" s="81"/>
      <c r="U39" s="81"/>
      <c r="V39" s="78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Q39" s="78"/>
      <c r="AR39" s="81"/>
      <c r="AS39" s="81"/>
      <c r="AU39" s="81"/>
      <c r="AV39" s="81"/>
    </row>
    <row r="40" spans="1:48" x14ac:dyDescent="0.2">
      <c r="A40" s="76" t="str">
        <f>Foglio2!A51</f>
        <v>ANNAHMEDATUM/DATA ACCETTAZIONE:</v>
      </c>
      <c r="B40" s="78"/>
      <c r="C40" s="83"/>
      <c r="D40" s="79"/>
      <c r="E40" s="79"/>
      <c r="F40" s="81"/>
      <c r="G40" s="81"/>
      <c r="H40" s="81"/>
      <c r="I40" s="95"/>
      <c r="J40" s="79"/>
      <c r="K40" s="79"/>
      <c r="L40" s="81"/>
      <c r="M40" s="81"/>
      <c r="N40" s="166">
        <f>Foglio2!E51</f>
        <v>46077</v>
      </c>
      <c r="O40" s="167"/>
      <c r="P40" s="167"/>
      <c r="Q40" s="167"/>
      <c r="R40" s="167"/>
      <c r="S40" s="167"/>
      <c r="T40" s="81"/>
      <c r="U40" s="81"/>
      <c r="V40" s="81"/>
      <c r="W40" s="81"/>
      <c r="X40" s="157" t="str">
        <f>Foglio2!D55</f>
        <v>SPERIMENTATORE</v>
      </c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81"/>
      <c r="AJ40" s="81"/>
      <c r="AK40" s="81"/>
      <c r="AL40" s="81"/>
      <c r="AM40" s="157" t="str">
        <f>Foglio2!F55</f>
        <v>DIRETTORE LABORATORIO</v>
      </c>
      <c r="AN40" s="157"/>
      <c r="AO40" s="157"/>
      <c r="AP40" s="157"/>
      <c r="AQ40" s="157"/>
      <c r="AR40" s="157"/>
      <c r="AS40" s="157"/>
      <c r="AT40" s="157"/>
      <c r="AU40" s="157"/>
      <c r="AV40" s="81"/>
    </row>
    <row r="41" spans="1:48" x14ac:dyDescent="0.2">
      <c r="A41" s="76" t="str">
        <f>Foglio2!A52</f>
        <v>VERSUCH DATUM/DATA PROVA :</v>
      </c>
      <c r="B41" s="79"/>
      <c r="C41" s="79"/>
      <c r="D41" s="79"/>
      <c r="E41" s="79"/>
      <c r="F41" s="81"/>
      <c r="G41" s="81"/>
      <c r="H41" s="81"/>
      <c r="I41" s="81"/>
      <c r="J41" s="81"/>
      <c r="K41" s="81"/>
      <c r="L41" s="81"/>
      <c r="M41" s="81"/>
      <c r="N41" s="166">
        <f>Foglio2!E52</f>
        <v>46083</v>
      </c>
      <c r="O41" s="167"/>
      <c r="P41" s="167"/>
      <c r="Q41" s="167"/>
      <c r="R41" s="167"/>
      <c r="S41" s="79"/>
      <c r="T41" s="79"/>
      <c r="U41" s="79"/>
      <c r="V41" s="79"/>
      <c r="W41" s="81"/>
      <c r="X41" s="81"/>
      <c r="Y41" s="158" t="str">
        <f>Foglio2!D56</f>
        <v>R. Mattuzzi</v>
      </c>
      <c r="Z41" s="158"/>
      <c r="AA41" s="158"/>
      <c r="AB41" s="158"/>
      <c r="AC41" s="158"/>
      <c r="AD41" s="158"/>
      <c r="AE41" s="158"/>
      <c r="AF41" s="158"/>
      <c r="AG41" s="158"/>
      <c r="AH41" s="123"/>
      <c r="AI41" s="122"/>
      <c r="AJ41" s="122"/>
      <c r="AK41" s="122"/>
      <c r="AL41" s="122"/>
      <c r="AM41" s="158" t="str">
        <f>Foglio2!F56</f>
        <v>dr. F. Shams</v>
      </c>
      <c r="AN41" s="158"/>
      <c r="AO41" s="158"/>
      <c r="AP41" s="158"/>
      <c r="AQ41" s="158"/>
      <c r="AR41" s="158"/>
      <c r="AS41" s="158"/>
      <c r="AT41" s="158"/>
      <c r="AU41" s="158"/>
      <c r="AV41" s="123"/>
    </row>
    <row r="42" spans="1:48" x14ac:dyDescent="0.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79"/>
      <c r="R42" s="79"/>
      <c r="S42" s="79"/>
      <c r="T42" s="79"/>
      <c r="U42" s="79"/>
      <c r="V42" s="79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79"/>
      <c r="AM42" s="79"/>
      <c r="AN42" s="79"/>
      <c r="AO42" s="79"/>
      <c r="AP42" s="79"/>
      <c r="AQ42" s="79"/>
      <c r="AR42" s="81"/>
      <c r="AS42" s="81"/>
      <c r="AT42" s="81"/>
      <c r="AU42" s="81"/>
      <c r="AV42" s="81"/>
    </row>
    <row r="43" spans="1:48" x14ac:dyDescent="0.2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79"/>
      <c r="R43" s="79"/>
      <c r="S43" s="79"/>
      <c r="T43" s="79"/>
      <c r="U43" s="79"/>
      <c r="V43" s="79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79"/>
      <c r="AM43" s="79"/>
      <c r="AN43" s="79"/>
      <c r="AO43" s="79"/>
      <c r="AP43" s="79"/>
      <c r="AQ43" s="79"/>
      <c r="AR43" s="81"/>
      <c r="AS43" s="81"/>
      <c r="AT43" s="81"/>
      <c r="AU43" s="81"/>
      <c r="AV43" s="81"/>
    </row>
    <row r="44" spans="1:4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4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4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">
      <c r="A49" s="7"/>
      <c r="B49" s="7"/>
      <c r="C49" s="7"/>
      <c r="D49" s="7"/>
      <c r="E49" s="124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">
      <c r="A50" s="7"/>
      <c r="B50" s="7"/>
      <c r="C50" s="7"/>
      <c r="D50" s="7"/>
      <c r="E50" s="124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</sheetData>
  <mergeCells count="34">
    <mergeCell ref="AL11:AM11"/>
    <mergeCell ref="AC11:AD11"/>
    <mergeCell ref="AD10:AH10"/>
    <mergeCell ref="AP1:AX2"/>
    <mergeCell ref="AV9:AY9"/>
    <mergeCell ref="W2:AM2"/>
    <mergeCell ref="A2:N2"/>
    <mergeCell ref="T10:X10"/>
    <mergeCell ref="Y10:AC10"/>
    <mergeCell ref="W3:AF3"/>
    <mergeCell ref="AM10:AQ10"/>
    <mergeCell ref="G10:J10"/>
    <mergeCell ref="K10:N10"/>
    <mergeCell ref="O10:S10"/>
    <mergeCell ref="AG3:AM3"/>
    <mergeCell ref="AI9:AU9"/>
    <mergeCell ref="T9:AH9"/>
    <mergeCell ref="AR10:AU10"/>
    <mergeCell ref="X40:AH40"/>
    <mergeCell ref="Y41:AG41"/>
    <mergeCell ref="AM40:AU40"/>
    <mergeCell ref="AM41:AU41"/>
    <mergeCell ref="A9:F9"/>
    <mergeCell ref="G9:S9"/>
    <mergeCell ref="F11:G11"/>
    <mergeCell ref="N41:R41"/>
    <mergeCell ref="AQ11:AR11"/>
    <mergeCell ref="AI10:AL10"/>
    <mergeCell ref="J11:K11"/>
    <mergeCell ref="S11:T11"/>
    <mergeCell ref="X11:Y11"/>
    <mergeCell ref="N40:S40"/>
    <mergeCell ref="AU11:AV11"/>
    <mergeCell ref="AH11:AI11"/>
  </mergeCells>
  <phoneticPr fontId="0" type="noConversion"/>
  <printOptions horizontalCentered="1"/>
  <pageMargins left="0.43307086614173229" right="0.39370078740157483" top="0.31496062992125984" bottom="7.874015748031496E-2" header="0.15748031496062992" footer="0"/>
  <pageSetup paperSize="9" orientation="landscape" r:id="rId1"/>
  <headerFooter>
    <oddHeader>&amp;C&amp;"Arial,Normale"Concessione Ministeriale nr. 8013, prove geotecniche (settore a), Circolare 7618/STC anno 2010
Sistema di gestione ISO 9001/2015 Nr. 9175.GEOL</oddHeader>
    <oddFooter>&amp;R&amp;"Arial,Normale"mod. 8.6.1.9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showGridLines="0" tabSelected="1" topLeftCell="A20" zoomScaleNormal="100" workbookViewId="0">
      <selection activeCell="E50" sqref="E50"/>
    </sheetView>
  </sheetViews>
  <sheetFormatPr defaultRowHeight="12.75" x14ac:dyDescent="0.2"/>
  <cols>
    <col min="1" max="1" width="14.5703125" style="4" customWidth="1"/>
    <col min="2" max="2" width="4.7109375" style="2" customWidth="1"/>
    <col min="3" max="3" width="10.7109375" style="2" customWidth="1"/>
    <col min="4" max="4" width="15" style="3" customWidth="1"/>
    <col min="5" max="5" width="19.42578125" style="3" customWidth="1"/>
    <col min="6" max="6" width="15.140625" style="5" customWidth="1"/>
    <col min="7" max="7" width="7.28515625" style="2" customWidth="1"/>
    <col min="8" max="8" width="11.5703125" style="1" customWidth="1"/>
  </cols>
  <sheetData>
    <row r="1" spans="1:8" ht="12.95" customHeight="1" x14ac:dyDescent="0.2">
      <c r="A1" s="76" t="s">
        <v>33</v>
      </c>
      <c r="B1" s="117"/>
      <c r="C1" s="117"/>
      <c r="D1" s="118"/>
      <c r="F1" s="147" t="s">
        <v>34</v>
      </c>
      <c r="G1" s="148"/>
      <c r="H1" s="148"/>
    </row>
    <row r="2" spans="1:8" ht="17.100000000000001" customHeight="1" x14ac:dyDescent="0.2">
      <c r="A2" s="151" t="s">
        <v>70</v>
      </c>
      <c r="B2" s="152"/>
      <c r="C2" s="152"/>
      <c r="D2" s="152"/>
      <c r="E2" s="7"/>
      <c r="F2" s="148"/>
      <c r="G2" s="148"/>
      <c r="H2" s="148"/>
    </row>
    <row r="3" spans="1:8" x14ac:dyDescent="0.2">
      <c r="A3" s="67"/>
      <c r="B3" s="7"/>
      <c r="C3" s="7"/>
      <c r="D3" s="7"/>
      <c r="E3" s="7"/>
      <c r="F3" s="7"/>
      <c r="G3" s="77" t="s">
        <v>60</v>
      </c>
      <c r="H3" s="7"/>
    </row>
    <row r="4" spans="1:8" x14ac:dyDescent="0.2">
      <c r="A4" s="67"/>
      <c r="B4" s="7"/>
      <c r="C4" s="7"/>
      <c r="D4" s="7"/>
      <c r="E4" s="7"/>
      <c r="F4" s="7"/>
      <c r="G4" s="13" t="s">
        <v>61</v>
      </c>
      <c r="H4" s="7"/>
    </row>
    <row r="5" spans="1:8" ht="18" x14ac:dyDescent="0.25">
      <c r="A5" s="47" t="s">
        <v>36</v>
      </c>
      <c r="B5" s="7"/>
      <c r="C5" s="7"/>
      <c r="D5" s="7"/>
      <c r="E5" s="7"/>
      <c r="H5" s="7"/>
    </row>
    <row r="6" spans="1:8" ht="18" x14ac:dyDescent="0.25">
      <c r="A6" s="15" t="s">
        <v>20</v>
      </c>
      <c r="B6" s="15"/>
      <c r="C6" s="16"/>
      <c r="D6" s="17"/>
      <c r="E6" s="17"/>
      <c r="H6" s="7"/>
    </row>
    <row r="7" spans="1:8" ht="12" customHeight="1" x14ac:dyDescent="0.25">
      <c r="A7" s="15"/>
      <c r="B7" s="15"/>
      <c r="C7" s="16"/>
      <c r="D7" s="17"/>
      <c r="E7" s="17"/>
      <c r="H7" s="7"/>
    </row>
    <row r="8" spans="1:8" x14ac:dyDescent="0.2">
      <c r="A8" s="34" t="s">
        <v>12</v>
      </c>
      <c r="B8" s="34"/>
      <c r="C8" s="10"/>
      <c r="D8" s="6"/>
      <c r="E8" s="153" t="s">
        <v>68</v>
      </c>
      <c r="F8" s="154"/>
      <c r="G8" s="154"/>
      <c r="H8" s="7"/>
    </row>
    <row r="9" spans="1:8" ht="15.75" x14ac:dyDescent="0.2">
      <c r="A9" s="34"/>
      <c r="B9" s="34"/>
      <c r="C9" s="10"/>
      <c r="D9" s="6"/>
      <c r="E9" s="135" t="s">
        <v>72</v>
      </c>
      <c r="F9" s="155" t="s">
        <v>75</v>
      </c>
      <c r="G9" s="156"/>
      <c r="H9" s="7"/>
    </row>
    <row r="10" spans="1:8" x14ac:dyDescent="0.2">
      <c r="A10" s="2"/>
      <c r="E10" s="118"/>
      <c r="F10" s="38"/>
      <c r="G10" s="6"/>
      <c r="H10" s="7"/>
    </row>
    <row r="11" spans="1:8" ht="17.25" customHeight="1" x14ac:dyDescent="0.2">
      <c r="A11" s="70" t="s">
        <v>37</v>
      </c>
      <c r="B11" s="96"/>
      <c r="D11" s="98" t="s">
        <v>38</v>
      </c>
      <c r="H11" s="7"/>
    </row>
    <row r="12" spans="1:8" ht="19.5" customHeight="1" x14ac:dyDescent="0.2">
      <c r="A12" s="70" t="s">
        <v>39</v>
      </c>
      <c r="B12" s="96"/>
      <c r="D12" s="130" t="s">
        <v>40</v>
      </c>
      <c r="G12" s="19"/>
      <c r="H12" s="7"/>
    </row>
    <row r="13" spans="1:8" ht="19.5" customHeight="1" x14ac:dyDescent="0.2">
      <c r="A13" s="74" t="s">
        <v>63</v>
      </c>
      <c r="B13" s="96"/>
      <c r="D13" s="130" t="s">
        <v>62</v>
      </c>
      <c r="G13" s="19"/>
      <c r="H13" s="7"/>
    </row>
    <row r="14" spans="1:8" ht="18.75" customHeight="1" x14ac:dyDescent="0.2">
      <c r="A14" s="97" t="s">
        <v>41</v>
      </c>
      <c r="B14" s="8"/>
      <c r="D14" s="131" t="s">
        <v>42</v>
      </c>
      <c r="H14" s="7"/>
    </row>
    <row r="15" spans="1:8" ht="15.75" x14ac:dyDescent="0.2">
      <c r="A15" s="2"/>
      <c r="D15" s="74" t="s">
        <v>66</v>
      </c>
      <c r="E15" s="118"/>
      <c r="F15" s="38"/>
      <c r="G15" s="98" t="s">
        <v>43</v>
      </c>
      <c r="H15" s="7"/>
    </row>
    <row r="16" spans="1:8" ht="18.75" customHeight="1" x14ac:dyDescent="0.2">
      <c r="A16" s="2"/>
      <c r="B16" s="8"/>
      <c r="D16" s="74" t="s">
        <v>67</v>
      </c>
      <c r="E16" s="118"/>
      <c r="F16" s="38"/>
      <c r="G16" s="132" t="s">
        <v>43</v>
      </c>
      <c r="H16" s="21"/>
    </row>
    <row r="17" spans="1:8" x14ac:dyDescent="0.2">
      <c r="A17" s="2"/>
      <c r="B17" s="8"/>
      <c r="E17"/>
      <c r="F17" s="99"/>
      <c r="G17" s="20"/>
      <c r="H17" s="21"/>
    </row>
    <row r="18" spans="1:8" ht="12.75" customHeight="1" x14ac:dyDescent="0.2">
      <c r="A18" s="90" t="s">
        <v>44</v>
      </c>
      <c r="B18" s="72"/>
      <c r="C18" s="17"/>
      <c r="D18" s="91" t="s">
        <v>69</v>
      </c>
      <c r="E18" s="91"/>
      <c r="F18" s="91"/>
      <c r="G18"/>
      <c r="H18" s="21"/>
    </row>
    <row r="19" spans="1:8" ht="15" customHeight="1" x14ac:dyDescent="0.2">
      <c r="A19" s="35"/>
      <c r="B19" s="8"/>
      <c r="C19"/>
      <c r="D19" s="91"/>
      <c r="E19" s="91"/>
      <c r="F19" s="91"/>
      <c r="G19" s="20"/>
      <c r="H19" s="21"/>
    </row>
    <row r="20" spans="1:8" x14ac:dyDescent="0.2">
      <c r="A20" s="35"/>
      <c r="B20" s="8"/>
      <c r="C20" s="71"/>
      <c r="D20" s="71"/>
      <c r="F20" s="126" t="s">
        <v>71</v>
      </c>
    </row>
    <row r="21" spans="1:8" x14ac:dyDescent="0.2">
      <c r="A21" s="36" t="s">
        <v>45</v>
      </c>
      <c r="B21" s="36"/>
      <c r="C21" s="9"/>
      <c r="D21" s="32"/>
      <c r="E21" s="30"/>
      <c r="F21" s="31"/>
      <c r="G21" s="25"/>
      <c r="H21" s="13"/>
    </row>
    <row r="22" spans="1:8" ht="12.75" customHeight="1" x14ac:dyDescent="0.2">
      <c r="A22" s="100" t="s">
        <v>46</v>
      </c>
      <c r="B22" s="139" t="s">
        <v>47</v>
      </c>
      <c r="C22" s="140"/>
      <c r="D22" s="101" t="s">
        <v>48</v>
      </c>
      <c r="E22" s="101" t="s">
        <v>48</v>
      </c>
      <c r="F22" s="102" t="s">
        <v>49</v>
      </c>
      <c r="G22" s="26"/>
      <c r="H22" s="13"/>
    </row>
    <row r="23" spans="1:8" ht="12.75" customHeight="1" x14ac:dyDescent="0.2">
      <c r="A23" s="103" t="s">
        <v>0</v>
      </c>
      <c r="B23" s="149" t="s">
        <v>30</v>
      </c>
      <c r="C23" s="150"/>
      <c r="D23" s="104" t="s">
        <v>19</v>
      </c>
      <c r="E23" s="103" t="s">
        <v>31</v>
      </c>
      <c r="F23" s="104" t="s">
        <v>32</v>
      </c>
      <c r="G23" s="27"/>
      <c r="H23" s="13"/>
    </row>
    <row r="24" spans="1:8" x14ac:dyDescent="0.2">
      <c r="A24" s="49" t="s">
        <v>21</v>
      </c>
      <c r="B24" s="137">
        <v>90</v>
      </c>
      <c r="C24" s="138"/>
      <c r="D24" s="114"/>
      <c r="E24" s="53" t="str">
        <f>IF(D24="","",SUM($D$24:D24)/$D$42*100)</f>
        <v/>
      </c>
      <c r="F24" s="53"/>
      <c r="G24" s="27"/>
      <c r="H24" s="13"/>
    </row>
    <row r="25" spans="1:8" x14ac:dyDescent="0.2">
      <c r="A25" s="51" t="s">
        <v>24</v>
      </c>
      <c r="B25" s="137">
        <v>63</v>
      </c>
      <c r="C25" s="138"/>
      <c r="D25" s="115"/>
      <c r="E25" s="53"/>
      <c r="F25" s="53"/>
      <c r="G25" s="27"/>
      <c r="H25" s="13"/>
    </row>
    <row r="26" spans="1:8" x14ac:dyDescent="0.2">
      <c r="A26" s="51" t="s">
        <v>22</v>
      </c>
      <c r="B26" s="137">
        <v>56</v>
      </c>
      <c r="C26" s="138"/>
      <c r="D26" s="115"/>
      <c r="E26" s="53" t="str">
        <f>IF(D26="","",SUM($D$24:D26)/$D$42*100)</f>
        <v/>
      </c>
      <c r="F26" s="53"/>
      <c r="G26" s="27"/>
      <c r="H26" s="13"/>
    </row>
    <row r="27" spans="1:8" x14ac:dyDescent="0.2">
      <c r="A27" s="51" t="s">
        <v>23</v>
      </c>
      <c r="B27" s="137">
        <v>45</v>
      </c>
      <c r="C27" s="138"/>
      <c r="D27" s="115"/>
      <c r="E27" s="53" t="str">
        <f>IF(D27="","",SUM($D$24:D27)/$D$42*100)</f>
        <v/>
      </c>
      <c r="F27" s="53"/>
      <c r="G27" s="27"/>
      <c r="H27" s="13"/>
    </row>
    <row r="28" spans="1:8" x14ac:dyDescent="0.2">
      <c r="A28" s="52" t="s">
        <v>25</v>
      </c>
      <c r="B28" s="137">
        <v>31.5</v>
      </c>
      <c r="C28" s="138"/>
      <c r="D28" s="115"/>
      <c r="E28" s="53" t="str">
        <f>IF(D28="","",SUM($D$24:D28)/$D$42*100)</f>
        <v/>
      </c>
      <c r="F28" s="53"/>
      <c r="G28" s="27"/>
      <c r="H28" s="22"/>
    </row>
    <row r="29" spans="1:8" x14ac:dyDescent="0.2">
      <c r="A29" s="52" t="s">
        <v>26</v>
      </c>
      <c r="B29" s="137">
        <v>22.4</v>
      </c>
      <c r="C29" s="138"/>
      <c r="D29" s="115"/>
      <c r="E29" s="53" t="str">
        <f>IF(D29="","",SUM($D$24:D29)/$D$42*100)</f>
        <v/>
      </c>
      <c r="F29" s="53"/>
      <c r="G29" s="27"/>
      <c r="H29" s="22"/>
    </row>
    <row r="30" spans="1:8" x14ac:dyDescent="0.2">
      <c r="A30" s="52" t="s">
        <v>3</v>
      </c>
      <c r="B30" s="137">
        <v>16</v>
      </c>
      <c r="C30" s="138"/>
      <c r="D30" s="115"/>
      <c r="E30" s="53"/>
      <c r="F30" s="53"/>
      <c r="G30" s="27"/>
      <c r="H30" s="20"/>
    </row>
    <row r="31" spans="1:8" x14ac:dyDescent="0.2">
      <c r="A31" s="52" t="s">
        <v>27</v>
      </c>
      <c r="B31" s="137">
        <v>11.2</v>
      </c>
      <c r="C31" s="138"/>
      <c r="D31" s="119"/>
      <c r="E31" s="53"/>
      <c r="F31" s="53"/>
      <c r="G31" s="27"/>
      <c r="H31" s="20"/>
    </row>
    <row r="32" spans="1:8" x14ac:dyDescent="0.2">
      <c r="A32" s="52" t="s">
        <v>13</v>
      </c>
      <c r="B32" s="137">
        <v>8</v>
      </c>
      <c r="C32" s="138"/>
      <c r="D32" s="119">
        <v>0</v>
      </c>
      <c r="E32" s="53">
        <f>IF(D32="","",SUM($D$24:D32)/$D$42*100)</f>
        <v>0</v>
      </c>
      <c r="F32" s="53">
        <f>IF(D32="",F31,100-$E32)</f>
        <v>100</v>
      </c>
      <c r="G32" s="27"/>
      <c r="H32" s="23"/>
    </row>
    <row r="33" spans="1:8" x14ac:dyDescent="0.2">
      <c r="A33" s="52">
        <v>3.5</v>
      </c>
      <c r="B33" s="137">
        <v>5.6</v>
      </c>
      <c r="C33" s="138"/>
      <c r="D33" s="119">
        <v>9.8000000000000007</v>
      </c>
      <c r="E33" s="53">
        <f>IF(D33="","",SUM($D$24:D33)/$D$42*100)</f>
        <v>0.66328257191201356</v>
      </c>
      <c r="F33" s="53">
        <f>IF(D33="",F32,100-$E33)</f>
        <v>99.336717428087979</v>
      </c>
      <c r="G33" s="27"/>
      <c r="H33" s="23"/>
    </row>
    <row r="34" spans="1:8" x14ac:dyDescent="0.2">
      <c r="A34" s="54">
        <v>5</v>
      </c>
      <c r="B34" s="137">
        <v>4</v>
      </c>
      <c r="C34" s="138"/>
      <c r="D34" s="119">
        <v>65</v>
      </c>
      <c r="E34" s="53">
        <f>IF(D34="","",SUM($D$24:D34)/$D$42*100)</f>
        <v>5.0626057529610833</v>
      </c>
      <c r="F34" s="53">
        <f>IF(D34="",F33,100-$E34)</f>
        <v>94.937394247038924</v>
      </c>
      <c r="G34" s="27"/>
      <c r="H34" s="23"/>
    </row>
    <row r="35" spans="1:8" x14ac:dyDescent="0.2">
      <c r="A35" s="54">
        <v>10</v>
      </c>
      <c r="B35" s="137">
        <v>2</v>
      </c>
      <c r="C35" s="138"/>
      <c r="D35" s="119">
        <v>383.6</v>
      </c>
      <c r="E35" s="50">
        <f>IF(D35="","",SUM($D$24:D35)/$D$42*100)</f>
        <v>31.025380710659899</v>
      </c>
      <c r="F35" s="53">
        <f t="shared" ref="F35:F40" si="0">IF(D35="",F34,100-$E35)</f>
        <v>68.974619289340097</v>
      </c>
      <c r="G35" s="27"/>
      <c r="H35" s="23"/>
    </row>
    <row r="36" spans="1:8" x14ac:dyDescent="0.2">
      <c r="A36" s="54">
        <v>18</v>
      </c>
      <c r="B36" s="137">
        <v>1</v>
      </c>
      <c r="C36" s="138"/>
      <c r="D36" s="119">
        <v>333.8</v>
      </c>
      <c r="E36" s="53">
        <f>IF(D36="","",SUM($D$24:D36)/$D$42*100)</f>
        <v>53.617597292724199</v>
      </c>
      <c r="F36" s="53">
        <f t="shared" si="0"/>
        <v>46.382402707275801</v>
      </c>
      <c r="G36" s="27"/>
      <c r="H36" s="23"/>
    </row>
    <row r="37" spans="1:8" x14ac:dyDescent="0.2">
      <c r="A37" s="54">
        <v>35</v>
      </c>
      <c r="B37" s="137">
        <v>0.5</v>
      </c>
      <c r="C37" s="138"/>
      <c r="D37" s="119">
        <v>252.6</v>
      </c>
      <c r="E37" s="50">
        <f>IF(D37="","",SUM($D$24:D37)/$D$42*100)</f>
        <v>70.714043993231812</v>
      </c>
      <c r="F37" s="53">
        <f t="shared" si="0"/>
        <v>29.285956006768188</v>
      </c>
      <c r="G37" s="27"/>
      <c r="H37" s="23"/>
    </row>
    <row r="38" spans="1:8" x14ac:dyDescent="0.2">
      <c r="A38" s="54">
        <v>60</v>
      </c>
      <c r="B38" s="137">
        <v>0.25</v>
      </c>
      <c r="C38" s="138"/>
      <c r="D38" s="119">
        <v>200.6</v>
      </c>
      <c r="E38" s="53">
        <f>IF(D38="","",SUM($D$24:D38)/$D$42*100)</f>
        <v>84.291032148900157</v>
      </c>
      <c r="F38" s="53">
        <f t="shared" si="0"/>
        <v>15.708967851099843</v>
      </c>
      <c r="G38" s="28"/>
      <c r="H38" s="23"/>
    </row>
    <row r="39" spans="1:8" x14ac:dyDescent="0.2">
      <c r="A39" s="54">
        <v>120</v>
      </c>
      <c r="B39" s="137">
        <v>0.125</v>
      </c>
      <c r="C39" s="138"/>
      <c r="D39" s="119">
        <v>130.6</v>
      </c>
      <c r="E39" s="50">
        <f>IF(D39="","",SUM($D$24:D39)/$D$42*100)</f>
        <v>93.130287648054136</v>
      </c>
      <c r="F39" s="53">
        <f t="shared" si="0"/>
        <v>6.8697123519458643</v>
      </c>
      <c r="G39" s="29"/>
      <c r="H39" s="23"/>
    </row>
    <row r="40" spans="1:8" x14ac:dyDescent="0.2">
      <c r="A40" s="54">
        <v>230</v>
      </c>
      <c r="B40" s="137">
        <v>6.3E-2</v>
      </c>
      <c r="C40" s="138"/>
      <c r="D40" s="119">
        <v>77.400000000000006</v>
      </c>
      <c r="E40" s="53">
        <f>IF(D40="","",SUM($D$24:D40)/$D$42*100)</f>
        <v>98.368866328257184</v>
      </c>
      <c r="F40" s="50">
        <f t="shared" si="0"/>
        <v>1.6311336717428162</v>
      </c>
      <c r="G40" s="24"/>
      <c r="H40" s="23"/>
    </row>
    <row r="41" spans="1:8" x14ac:dyDescent="0.2">
      <c r="A41" s="52"/>
      <c r="B41" s="143" t="s">
        <v>2</v>
      </c>
      <c r="C41" s="144"/>
      <c r="D41" s="55">
        <f>D42-SUM(D24:D40)</f>
        <v>24.100000000000136</v>
      </c>
      <c r="E41" s="56"/>
      <c r="F41" s="57">
        <f>D41/D42*100</f>
        <v>1.6311336717428182</v>
      </c>
      <c r="G41" s="20"/>
      <c r="H41" s="23"/>
    </row>
    <row r="42" spans="1:8" x14ac:dyDescent="0.2">
      <c r="A42" s="59" t="s">
        <v>50</v>
      </c>
      <c r="B42" s="60"/>
      <c r="C42" s="48"/>
      <c r="D42" s="69">
        <v>1477.5</v>
      </c>
      <c r="E42" s="36"/>
      <c r="F42" s="58"/>
      <c r="G42" s="20"/>
      <c r="H42" s="23"/>
    </row>
    <row r="43" spans="1:8" x14ac:dyDescent="0.2">
      <c r="A43" s="61" t="s">
        <v>51</v>
      </c>
      <c r="B43" s="141">
        <f>E25</f>
        <v>0</v>
      </c>
      <c r="C43" s="145"/>
      <c r="D43" s="63" t="s">
        <v>1</v>
      </c>
      <c r="E43" s="105" t="s">
        <v>29</v>
      </c>
      <c r="F43" s="106"/>
      <c r="G43" s="20"/>
      <c r="H43" s="20"/>
    </row>
    <row r="44" spans="1:8" x14ac:dyDescent="0.2">
      <c r="A44" s="61" t="s">
        <v>52</v>
      </c>
      <c r="B44" s="146">
        <f>E35-B43</f>
        <v>31.025380710659899</v>
      </c>
      <c r="C44" s="142"/>
      <c r="D44" s="63" t="s">
        <v>1</v>
      </c>
      <c r="E44" s="59"/>
      <c r="F44" s="66"/>
      <c r="G44" s="10"/>
      <c r="H44" s="13"/>
    </row>
    <row r="45" spans="1:8" x14ac:dyDescent="0.2">
      <c r="A45" s="61" t="s">
        <v>53</v>
      </c>
      <c r="B45" s="141">
        <f>E40-E35</f>
        <v>67.343485617597281</v>
      </c>
      <c r="C45" s="142"/>
      <c r="D45" s="63" t="s">
        <v>1</v>
      </c>
      <c r="E45" s="68" t="s">
        <v>64</v>
      </c>
      <c r="F45" s="133">
        <v>4</v>
      </c>
      <c r="G45" s="10"/>
      <c r="H45" s="13"/>
    </row>
    <row r="46" spans="1:8" x14ac:dyDescent="0.2">
      <c r="A46" s="62" t="s">
        <v>54</v>
      </c>
      <c r="B46" s="141">
        <f>F41-B47</f>
        <v>1.6311336717428182</v>
      </c>
      <c r="C46" s="142"/>
      <c r="D46" s="63" t="s">
        <v>1</v>
      </c>
      <c r="E46" s="107" t="s">
        <v>65</v>
      </c>
      <c r="F46" s="136" t="s">
        <v>55</v>
      </c>
      <c r="G46" s="10"/>
      <c r="H46" s="13"/>
    </row>
    <row r="47" spans="1:8" x14ac:dyDescent="0.2">
      <c r="A47" s="61"/>
      <c r="B47" s="141"/>
      <c r="C47" s="142"/>
      <c r="D47" s="63"/>
      <c r="E47" s="112"/>
      <c r="F47" s="113"/>
      <c r="G47" s="10"/>
      <c r="H47" s="7"/>
    </row>
    <row r="48" spans="1:8" x14ac:dyDescent="0.2">
      <c r="A48" s="35"/>
      <c r="B48" s="35"/>
      <c r="E48" s="108"/>
      <c r="F48" s="13"/>
      <c r="G48" s="10"/>
      <c r="H48" s="10"/>
    </row>
    <row r="49" spans="1:8" x14ac:dyDescent="0.2">
      <c r="A49" s="16"/>
      <c r="B49" s="35"/>
      <c r="E49" s="109"/>
      <c r="F49" s="13"/>
      <c r="G49" s="10"/>
      <c r="H49" s="10"/>
    </row>
    <row r="50" spans="1:8" ht="12.6" customHeight="1" x14ac:dyDescent="0.2">
      <c r="A50" s="35" t="s">
        <v>56</v>
      </c>
      <c r="B50" s="35"/>
      <c r="E50" s="134" t="s">
        <v>76</v>
      </c>
      <c r="F50" s="80"/>
      <c r="G50" s="78"/>
      <c r="H50" s="7"/>
    </row>
    <row r="51" spans="1:8" ht="12.6" customHeight="1" x14ac:dyDescent="0.2">
      <c r="A51" s="16" t="s">
        <v>57</v>
      </c>
      <c r="B51" s="35"/>
      <c r="E51" s="129">
        <v>46077</v>
      </c>
      <c r="F51" s="77"/>
      <c r="G51" s="78"/>
      <c r="H51" s="7"/>
    </row>
    <row r="52" spans="1:8" ht="12.6" customHeight="1" x14ac:dyDescent="0.2">
      <c r="A52" s="35" t="s">
        <v>58</v>
      </c>
      <c r="B52" s="35"/>
      <c r="E52" s="129">
        <v>46083</v>
      </c>
      <c r="F52" s="80"/>
      <c r="G52" s="78"/>
      <c r="H52" s="7"/>
    </row>
    <row r="53" spans="1:8" ht="12.6" customHeight="1" x14ac:dyDescent="0.2">
      <c r="A53" s="35"/>
      <c r="B53" s="35"/>
      <c r="E53" s="110"/>
      <c r="F53" s="80"/>
      <c r="G53" s="78"/>
      <c r="H53" s="7"/>
    </row>
    <row r="54" spans="1:8" x14ac:dyDescent="0.2">
      <c r="A54" s="73"/>
      <c r="B54" s="76"/>
      <c r="C54" s="73"/>
      <c r="D54" s="75"/>
      <c r="E54" s="82"/>
      <c r="F54" s="80"/>
      <c r="G54" s="82"/>
      <c r="H54" s="7"/>
    </row>
    <row r="55" spans="1:8" x14ac:dyDescent="0.2">
      <c r="A55" s="2"/>
      <c r="D55" s="13" t="s">
        <v>73</v>
      </c>
      <c r="F55" s="13" t="s">
        <v>18</v>
      </c>
    </row>
    <row r="56" spans="1:8" x14ac:dyDescent="0.2">
      <c r="A56" s="2"/>
      <c r="D56" s="111" t="s">
        <v>74</v>
      </c>
      <c r="E56" s="5"/>
      <c r="F56" s="111" t="s">
        <v>59</v>
      </c>
    </row>
    <row r="57" spans="1:8" x14ac:dyDescent="0.2">
      <c r="A57" s="2"/>
      <c r="E57" s="5"/>
    </row>
  </sheetData>
  <mergeCells count="29">
    <mergeCell ref="F1:H2"/>
    <mergeCell ref="B39:C39"/>
    <mergeCell ref="B36:C36"/>
    <mergeCell ref="B29:C29"/>
    <mergeCell ref="B34:C34"/>
    <mergeCell ref="B23:C23"/>
    <mergeCell ref="A2:D2"/>
    <mergeCell ref="B24:C24"/>
    <mergeCell ref="B32:C32"/>
    <mergeCell ref="B33:C33"/>
    <mergeCell ref="B31:C31"/>
    <mergeCell ref="B28:C28"/>
    <mergeCell ref="B27:C27"/>
    <mergeCell ref="E8:G8"/>
    <mergeCell ref="F9:G9"/>
    <mergeCell ref="B30:C30"/>
    <mergeCell ref="B26:C26"/>
    <mergeCell ref="B22:C22"/>
    <mergeCell ref="B25:C25"/>
    <mergeCell ref="B35:C35"/>
    <mergeCell ref="B47:C47"/>
    <mergeCell ref="B40:C40"/>
    <mergeCell ref="B41:C41"/>
    <mergeCell ref="B43:C43"/>
    <mergeCell ref="B46:C46"/>
    <mergeCell ref="B38:C38"/>
    <mergeCell ref="B44:C44"/>
    <mergeCell ref="B45:C45"/>
    <mergeCell ref="B37:C37"/>
  </mergeCells>
  <phoneticPr fontId="0" type="noConversion"/>
  <printOptions horizontalCentered="1" gridLinesSet="0"/>
  <pageMargins left="0.19685039370078741" right="0.11811023622047245" top="0.62992125984251968" bottom="0.23622047244094491" header="0.15748031496062992" footer="0.35433070866141736"/>
  <pageSetup paperSize="9" orientation="portrait" horizontalDpi="4294967295" verticalDpi="300" r:id="rId1"/>
  <headerFooter>
    <oddHeader>&amp;C&amp;"Arial,Normale"Concessione Ministeriale nr. 8013, prove geotecniche (settore a), Circolare 7618/STC anno 2010
Sistema di gestione ISO 9001/2015 Nr. 9175.GEOL</oddHeader>
    <oddFooter>&amp;L&amp;"Arial,Normale"mod. 8.6.1.9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geo02</dc:creator>
  <cp:lastModifiedBy>GEO-LABOR SAS DI FALLAH SHAMS SEYED FARHAD E C. IT 017</cp:lastModifiedBy>
  <cp:lastPrinted>2025-08-20T10:39:12Z</cp:lastPrinted>
  <dcterms:created xsi:type="dcterms:W3CDTF">1999-08-31T15:41:37Z</dcterms:created>
  <dcterms:modified xsi:type="dcterms:W3CDTF">2026-03-13T09:54:17Z</dcterms:modified>
</cp:coreProperties>
</file>