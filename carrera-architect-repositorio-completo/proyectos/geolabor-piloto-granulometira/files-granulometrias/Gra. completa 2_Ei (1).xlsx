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8\server\PC2\GEOLABOR-LAVORO\TUTTO 2026\PROVE 2026\KELLEREI BOZEN 2026\V.A. 22-26\"/>
    </mc:Choice>
  </mc:AlternateContent>
  <xr:revisionPtr revIDLastSave="0" documentId="13_ncr:1_{4346D033-4948-46E8-8643-C49543AD35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9" i="1" l="1"/>
  <c r="L6" i="1"/>
  <c r="L7" i="1"/>
  <c r="L8" i="1"/>
  <c r="L5" i="1"/>
  <c r="AQ7" i="1"/>
  <c r="AQ8" i="1"/>
  <c r="AQ6" i="1"/>
  <c r="E9" i="4"/>
  <c r="H36" i="4"/>
  <c r="H34" i="4"/>
  <c r="D14" i="3" l="1"/>
  <c r="B53" i="2" s="1"/>
  <c r="E14" i="3"/>
  <c r="D15" i="3"/>
  <c r="B54" i="2" s="1"/>
  <c r="E15" i="3"/>
  <c r="F43" i="2"/>
  <c r="F42" i="2"/>
  <c r="G14" i="3" l="1"/>
  <c r="F15" i="3"/>
  <c r="D54" i="2" s="1"/>
  <c r="F14" i="3"/>
  <c r="D53" i="2" s="1"/>
  <c r="G15" i="3"/>
  <c r="D9" i="3" l="1"/>
  <c r="H8" i="4"/>
  <c r="A8" i="4"/>
  <c r="H14" i="4"/>
  <c r="C46" i="4"/>
  <c r="C35" i="4"/>
  <c r="B29" i="4"/>
  <c r="C47" i="4" l="1"/>
  <c r="I39" i="4"/>
  <c r="E46" i="4"/>
  <c r="F15" i="4" s="1"/>
  <c r="H15" i="4" s="1"/>
  <c r="D26" i="4" l="1"/>
  <c r="D34" i="2" s="1"/>
  <c r="D22" i="4"/>
  <c r="D30" i="2" s="1"/>
  <c r="D25" i="4"/>
  <c r="D33" i="2" s="1"/>
  <c r="D21" i="4"/>
  <c r="D29" i="2" s="1"/>
  <c r="H13" i="4"/>
  <c r="D38" i="2" s="1"/>
  <c r="D28" i="4"/>
  <c r="D36" i="2" s="1"/>
  <c r="D24" i="4"/>
  <c r="D32" i="2" s="1"/>
  <c r="D27" i="4"/>
  <c r="D35" i="2" s="1"/>
  <c r="D23" i="4"/>
  <c r="D31" i="2" s="1"/>
  <c r="D29" i="4"/>
  <c r="E24" i="2" l="1"/>
  <c r="F24" i="2" s="1"/>
  <c r="E25" i="2"/>
  <c r="F25" i="2" s="1"/>
  <c r="E26" i="2"/>
  <c r="F26" i="2" s="1"/>
  <c r="E27" i="2"/>
  <c r="F27" i="2" s="1"/>
  <c r="I40" i="4"/>
  <c r="D37" i="2"/>
  <c r="F9" i="3"/>
  <c r="D48" i="2" s="1"/>
  <c r="F56" i="2"/>
  <c r="I41" i="1"/>
  <c r="AI6" i="1"/>
  <c r="H7" i="1"/>
  <c r="E9" i="3"/>
  <c r="E10" i="3"/>
  <c r="E11" i="3"/>
  <c r="E12" i="3"/>
  <c r="E13" i="3"/>
  <c r="E8" i="3"/>
  <c r="D10" i="3"/>
  <c r="F10" i="3" s="1"/>
  <c r="D49" i="2" s="1"/>
  <c r="D11" i="3"/>
  <c r="B50" i="2" s="1"/>
  <c r="D12" i="3"/>
  <c r="F12" i="3" s="1"/>
  <c r="D51" i="2" s="1"/>
  <c r="D13" i="3"/>
  <c r="F13" i="3" s="1"/>
  <c r="D52" i="2" s="1"/>
  <c r="D8" i="3"/>
  <c r="B47" i="2" s="1"/>
  <c r="D47" i="2"/>
  <c r="H8" i="1"/>
  <c r="A2" i="1"/>
  <c r="E55" i="2"/>
  <c r="E56" i="2"/>
  <c r="A5" i="1"/>
  <c r="A6" i="1"/>
  <c r="H6" i="1"/>
  <c r="A7" i="1"/>
  <c r="AI7" i="1"/>
  <c r="A8" i="1"/>
  <c r="AI8" i="1"/>
  <c r="A9" i="1"/>
  <c r="A39" i="1"/>
  <c r="I39" i="1"/>
  <c r="A40" i="1"/>
  <c r="I40" i="1"/>
  <c r="AF40" i="1"/>
  <c r="AU40" i="1"/>
  <c r="A41" i="1"/>
  <c r="AF41" i="1"/>
  <c r="AU41" i="1"/>
  <c r="G13" i="3" l="1"/>
  <c r="B52" i="2"/>
  <c r="B51" i="2"/>
  <c r="B49" i="2"/>
  <c r="G9" i="3"/>
  <c r="B48" i="2"/>
  <c r="G12" i="3"/>
  <c r="F11" i="3"/>
  <c r="D50" i="2" s="1"/>
  <c r="G11" i="3"/>
  <c r="G10" i="3"/>
  <c r="C23" i="3" l="1"/>
  <c r="F37" i="2" l="1"/>
  <c r="E35" i="2"/>
  <c r="F35" i="2" s="1"/>
  <c r="E33" i="2"/>
  <c r="F33" i="2" s="1"/>
  <c r="E29" i="2"/>
  <c r="F29" i="2" s="1"/>
  <c r="E31" i="2"/>
  <c r="F31" i="2" s="1"/>
  <c r="B39" i="2"/>
  <c r="E28" i="2"/>
  <c r="F28" i="2" s="1"/>
  <c r="E34" i="2"/>
  <c r="F34" i="2" s="1"/>
  <c r="E36" i="2"/>
  <c r="F36" i="2" s="1"/>
  <c r="E32" i="2"/>
  <c r="F32" i="2" s="1"/>
  <c r="E30" i="2"/>
  <c r="F30" i="2" s="1"/>
  <c r="H10" i="3" l="1"/>
  <c r="E49" i="2" s="1"/>
  <c r="H15" i="3"/>
  <c r="E54" i="2" s="1"/>
  <c r="H14" i="3"/>
  <c r="E53" i="2" s="1"/>
  <c r="H11" i="3"/>
  <c r="E50" i="2" s="1"/>
  <c r="H13" i="3"/>
  <c r="E52" i="2" s="1"/>
  <c r="H8" i="3"/>
  <c r="E47" i="2" s="1"/>
  <c r="H9" i="3"/>
  <c r="E48" i="2" s="1"/>
  <c r="H12" i="3"/>
  <c r="E51" i="2" s="1"/>
  <c r="B41" i="2"/>
  <c r="B40" i="2"/>
  <c r="C24" i="3" l="1"/>
  <c r="C26" i="3" s="1"/>
  <c r="C27" i="3" s="1"/>
  <c r="C29" i="3" s="1"/>
  <c r="B43" i="2" s="1"/>
  <c r="B42" i="2" s="1"/>
</calcChain>
</file>

<file path=xl/sharedStrings.xml><?xml version="1.0" encoding="utf-8"?>
<sst xmlns="http://schemas.openxmlformats.org/spreadsheetml/2006/main" count="183" uniqueCount="158">
  <si>
    <t>Cd</t>
  </si>
  <si>
    <t>Cm</t>
  </si>
  <si>
    <t>temperatura</t>
  </si>
  <si>
    <t>intercetta</t>
  </si>
  <si>
    <t>pendenza</t>
  </si>
  <si>
    <t>taratura densimetro</t>
  </si>
  <si>
    <t>Tempo</t>
  </si>
  <si>
    <t>Tempe</t>
  </si>
  <si>
    <t>Lettura</t>
  </si>
  <si>
    <t>Correzione</t>
  </si>
  <si>
    <t>Diametro</t>
  </si>
  <si>
    <t>Percentuale</t>
  </si>
  <si>
    <t>ratura</t>
  </si>
  <si>
    <t>grani</t>
  </si>
  <si>
    <t>parziale</t>
  </si>
  <si>
    <t>min</t>
  </si>
  <si>
    <t>°C</t>
  </si>
  <si>
    <t>R</t>
  </si>
  <si>
    <t>R'</t>
  </si>
  <si>
    <t>mm</t>
  </si>
  <si>
    <t>%</t>
  </si>
  <si>
    <r>
      <t>Gs g/cm</t>
    </r>
    <r>
      <rPr>
        <vertAlign val="superscript"/>
        <sz val="8"/>
        <rFont val="Arial"/>
        <family val="2"/>
      </rPr>
      <t>3</t>
    </r>
  </si>
  <si>
    <t>&lt; 0.063</t>
  </si>
  <si>
    <t>ANALISI GRANULOMETRICA  PER SEDIMENTAZIONE</t>
  </si>
  <si>
    <t>D10 mm =</t>
  </si>
  <si>
    <t>D60 mm =</t>
  </si>
  <si>
    <t>2.1/2"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</si>
  <si>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</si>
  <si>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</si>
  <si>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</si>
  <si>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</si>
  <si>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</si>
  <si>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</si>
  <si>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</si>
  <si>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</si>
  <si>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</si>
  <si>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TABELLA RIASSUNTIVA</t>
  </si>
  <si>
    <t>5/16"</t>
  </si>
  <si>
    <t>1,1/4"</t>
  </si>
  <si>
    <t>Lettura corretta</t>
  </si>
  <si>
    <t>del densimetro</t>
  </si>
  <si>
    <t>Diametro grani</t>
  </si>
  <si>
    <t>Passante</t>
  </si>
  <si>
    <t>0.002</t>
  </si>
  <si>
    <t>0.006</t>
  </si>
  <si>
    <t>0.02</t>
  </si>
  <si>
    <t>0.2</t>
  </si>
  <si>
    <t>0.6</t>
  </si>
  <si>
    <t>DIRETTORE LABORATORIO</t>
  </si>
  <si>
    <t>7/16"</t>
  </si>
  <si>
    <t>3 1/2"</t>
  </si>
  <si>
    <t>2 1/4"</t>
  </si>
  <si>
    <t>1 3/4"</t>
  </si>
  <si>
    <t>7/8"</t>
  </si>
  <si>
    <r>
      <t xml:space="preserve">Geo-Labor </t>
    </r>
    <r>
      <rPr>
        <sz val="12"/>
        <rFont val="Times New Roman"/>
        <family val="1"/>
      </rPr>
      <t>s.a.s</t>
    </r>
    <r>
      <rPr>
        <b/>
        <sz val="12"/>
        <rFont val="Times New Roman"/>
        <family val="1"/>
      </rPr>
      <t>.</t>
    </r>
  </si>
  <si>
    <r>
      <t xml:space="preserve">Geo-Labor </t>
    </r>
    <r>
      <rPr>
        <sz val="12"/>
        <rFont val="Times New Roman"/>
        <family val="1"/>
      </rPr>
      <t>s.a.s.</t>
    </r>
  </si>
  <si>
    <t xml:space="preserve">Massa secco del campione  g </t>
  </si>
  <si>
    <r>
      <t>Massa specifica dei grani g/cm</t>
    </r>
    <r>
      <rPr>
        <vertAlign val="superscript"/>
        <sz val="10"/>
        <rFont val="Arial"/>
        <family val="2"/>
      </rPr>
      <t>3</t>
    </r>
  </si>
  <si>
    <t>Massa secca iniziale (g)</t>
  </si>
  <si>
    <t>D30 mm =</t>
  </si>
  <si>
    <t>dr. F. Shams</t>
  </si>
  <si>
    <r>
      <t xml:space="preserve">ANALISI GRANULOMETRICA </t>
    </r>
    <r>
      <rPr>
        <sz val="10"/>
        <rFont val="Arial"/>
        <family val="2"/>
      </rPr>
      <t>(NORMA: UNI CEN ISO/TS 17892-4)</t>
    </r>
  </si>
  <si>
    <r>
      <t xml:space="preserve">ANALISI GRANULOMETRICA </t>
    </r>
    <r>
      <rPr>
        <sz val="9"/>
        <rFont val="Arial"/>
        <family val="2"/>
      </rPr>
      <t>(NORMA: UNI CEN ISO/TS 17892-4)</t>
    </r>
  </si>
  <si>
    <t>(valore stimato)</t>
  </si>
  <si>
    <t>Pag. 2 di 2</t>
  </si>
  <si>
    <t>Via del Garda, 46/L - Tel. 0464913102</t>
  </si>
  <si>
    <t>38068 - Rovereto (TN)</t>
  </si>
  <si>
    <r>
      <t xml:space="preserve">Cc </t>
    </r>
    <r>
      <rPr>
        <sz val="8"/>
        <rFont val="Arial"/>
        <family val="2"/>
      </rPr>
      <t>coeff. curvatura</t>
    </r>
  </si>
  <si>
    <r>
      <t xml:space="preserve">Cu </t>
    </r>
    <r>
      <rPr>
        <sz val="8"/>
        <rFont val="Arial"/>
        <family val="2"/>
      </rPr>
      <t>coeff.uniformità</t>
    </r>
  </si>
  <si>
    <t>totale</t>
  </si>
  <si>
    <t>correzione per il dispersivo</t>
  </si>
  <si>
    <t xml:space="preserve">Peso Campione in g </t>
  </si>
  <si>
    <t>correzione per il menisco</t>
  </si>
  <si>
    <t>correzione per la temperatura</t>
  </si>
  <si>
    <t>Ct
intercetta</t>
  </si>
  <si>
    <t>Ct
pendenza</t>
  </si>
  <si>
    <t>% a 0,002mm</t>
  </si>
  <si>
    <t>CALCOLO %TOT A 0,002mm</t>
  </si>
  <si>
    <t>differenza diam grani</t>
  </si>
  <si>
    <t>differenza % tot</t>
  </si>
  <si>
    <t xml:space="preserve">SETACCIATURA </t>
  </si>
  <si>
    <t>Setaccio</t>
  </si>
  <si>
    <t>Diametro (mm)</t>
  </si>
  <si>
    <t>Trattenuto (g)</t>
  </si>
  <si>
    <t>Trattenuto (%)</t>
  </si>
  <si>
    <t>Passante (%)</t>
  </si>
  <si>
    <t>Ciottoli</t>
  </si>
  <si>
    <t>Ghiaia</t>
  </si>
  <si>
    <t>Sabbia</t>
  </si>
  <si>
    <t>Limo</t>
  </si>
  <si>
    <t>Argilla</t>
  </si>
  <si>
    <t>SEDIMENTAZIONE</t>
  </si>
  <si>
    <t>CERTIFICAZIONE NR:</t>
  </si>
  <si>
    <t>DATA ACCETTAZIONE:</t>
  </si>
  <si>
    <t xml:space="preserve">DATA PROVA: </t>
  </si>
  <si>
    <t>DETERMINAZIONE DELLA GRANULOMETRIA DI UN AGGREGATO</t>
  </si>
  <si>
    <t>Norma UNI EN 933-1, UNI CEN ISO TS 17892-4</t>
  </si>
  <si>
    <t>Sperimentatore_________________</t>
  </si>
  <si>
    <t>Quantità del campione in prova:</t>
  </si>
  <si>
    <t>Massa della frazione grossa ≥ 8,00 mm.:</t>
  </si>
  <si>
    <t>Massa della frazione fine ≤ 8,00 mm:</t>
  </si>
  <si>
    <t>Massa del campione ottenuto dopo quartatura:</t>
  </si>
  <si>
    <t>mm.</t>
  </si>
  <si>
    <t>≤ 0,063</t>
  </si>
  <si>
    <t>Somma g</t>
  </si>
  <si>
    <t>Perdita g</t>
  </si>
  <si>
    <t>PNU &gt; 8mm:</t>
  </si>
  <si>
    <t>PNU &lt; 8mm:</t>
  </si>
  <si>
    <t>Note:___________________________________________________________________________________</t>
  </si>
  <si>
    <t>gra-terre 0-8</t>
  </si>
  <si>
    <t>Massa trattenuta</t>
  </si>
  <si>
    <t>M (g)</t>
  </si>
  <si>
    <t>Calcolo proporzione per Tot. SECCO &lt;8mm =</t>
  </si>
  <si>
    <t xml:space="preserve">PNU &lt; 8mm   X   m 4 PNS       </t>
  </si>
  <si>
    <t>PNU Quartato &lt; 8mm</t>
  </si>
  <si>
    <t>Campione____________</t>
  </si>
  <si>
    <t>M. tot. (A) g</t>
  </si>
  <si>
    <t>=</t>
  </si>
  <si>
    <t>Note</t>
  </si>
  <si>
    <t xml:space="preserve">Ridurre il passante allo staccio ≤ 8,00 a circa 1000 gr </t>
  </si>
  <si>
    <t>(solo se il passante è maggiore di 1000 grammi)</t>
  </si>
  <si>
    <t>(A): Massa totale trattenuta a ciascun setaccio:</t>
  </si>
  <si>
    <t>M*(M3/M4) = M tot.</t>
  </si>
  <si>
    <t>Data arrivo______________</t>
  </si>
  <si>
    <t>Data prove______________</t>
  </si>
  <si>
    <t>m 1 PNS:</t>
  </si>
  <si>
    <t>m 2 PNS:</t>
  </si>
  <si>
    <t>m 3 PNS:</t>
  </si>
  <si>
    <t>m 4 PNS:</t>
  </si>
  <si>
    <t>PNU Quartato &lt; 8mm:</t>
  </si>
  <si>
    <t>PLU Quartato &lt; 8mm:</t>
  </si>
  <si>
    <t>tara:</t>
  </si>
  <si>
    <t>%W &lt; 8 mm =</t>
  </si>
  <si>
    <t>Geo-Labor sas</t>
  </si>
  <si>
    <t>PLS Quartato &lt; 8mm:</t>
  </si>
  <si>
    <t>Pag 1 di 2</t>
  </si>
  <si>
    <t>%W totale =</t>
  </si>
  <si>
    <t xml:space="preserve">Massa della frazione fine &lt; 8,00 mm </t>
  </si>
  <si>
    <t>\</t>
  </si>
  <si>
    <t>SPERIMENTATORE</t>
  </si>
  <si>
    <t>R. Mattuzzi</t>
  </si>
  <si>
    <t>VERBALE ACCETTAZIONE NR: 22/27.02.2026</t>
  </si>
  <si>
    <r>
      <t xml:space="preserve">KORNGRÖßENANALYSE </t>
    </r>
    <r>
      <rPr>
        <sz val="10"/>
        <rFont val="Arial"/>
        <family val="2"/>
      </rPr>
      <t>(GEMÄß: UNI CEN ISO/TS 17892-4)</t>
    </r>
  </si>
  <si>
    <t xml:space="preserve">AUFTRAGGEBER/COMMITT.: </t>
  </si>
  <si>
    <t xml:space="preserve">BEZUG/RIF.: </t>
  </si>
  <si>
    <t>ORT/LOCALITA':</t>
  </si>
  <si>
    <t>Bolzano (Bz)</t>
  </si>
  <si>
    <t>PROJEKT/PROG.:</t>
  </si>
  <si>
    <t>Lagrein 39100</t>
  </si>
  <si>
    <t xml:space="preserve">BOHRUNG/SONDAGGIO: </t>
  </si>
  <si>
    <t>PROBE/CAMP.:</t>
  </si>
  <si>
    <t xml:space="preserve">TIEFE/PROF. m: </t>
  </si>
  <si>
    <t>BESCHREIBUNG/DESCRIZIONE:</t>
  </si>
  <si>
    <t>2_Ei</t>
  </si>
  <si>
    <t>Sabbia marrone con limo e con ghiaia arrotondata calcarea</t>
  </si>
  <si>
    <t>22/94</t>
  </si>
  <si>
    <t>GIR Carlo Ferretti</t>
  </si>
  <si>
    <t>Cantina Produttori Bolzano Soc. Agric. Coop.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</si>
</sst>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"/>
    <numFmt numFmtId="168" formatCode="dd/mm/yy;@"/>
    <numFmt numFmtId="169" formatCode="0.0%"/>
  </numFmts>
  <fonts count="31" x14ac:knownFonts="1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8"/>
      <name val="Helv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Helv"/>
    </font>
    <font>
      <sz val="12"/>
      <name val="Times New Roman"/>
      <family val="1"/>
    </font>
    <font>
      <b/>
      <sz val="12"/>
      <name val="Arial"/>
      <family val="2"/>
    </font>
    <font>
      <vertAlign val="superscript"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sz val="11"/>
      <name val="Helv"/>
    </font>
    <font>
      <sz val="14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6"/>
      <name val="Arial"/>
      <family val="2"/>
    </font>
    <font>
      <sz val="8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6">
    <xf numFmtId="0" fontId="0" fillId="0" borderId="0" xfId="0"/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3" fillId="0" borderId="0" xfId="0" applyFont="1"/>
    <xf numFmtId="2" fontId="7" fillId="0" borderId="0" xfId="0" applyNumberFormat="1" applyFont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2" fontId="7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2" fontId="7" fillId="0" borderId="4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2" borderId="4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0" fillId="0" borderId="6" xfId="0" applyBorder="1"/>
    <xf numFmtId="0" fontId="4" fillId="0" borderId="6" xfId="0" applyFont="1" applyBorder="1"/>
    <xf numFmtId="0" fontId="0" fillId="0" borderId="4" xfId="0" applyBorder="1"/>
    <xf numFmtId="2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4" xfId="0" applyFont="1" applyBorder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" fontId="5" fillId="0" borderId="7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1" fontId="7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2" fontId="4" fillId="0" borderId="0" xfId="0" applyNumberFormat="1" applyFont="1"/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4" fillId="0" borderId="9" xfId="0" applyNumberFormat="1" applyFont="1" applyBorder="1" applyAlignment="1">
      <alignment horizontal="left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7" fillId="0" borderId="1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167" fontId="4" fillId="2" borderId="8" xfId="0" applyNumberFormat="1" applyFont="1" applyFill="1" applyBorder="1" applyAlignment="1">
      <alignment horizontal="center" vertical="center"/>
    </xf>
    <xf numFmtId="165" fontId="7" fillId="2" borderId="10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2" fontId="4" fillId="0" borderId="7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2" fontId="1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2" fontId="7" fillId="2" borderId="11" xfId="0" applyNumberFormat="1" applyFont="1" applyFill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wrapText="1"/>
    </xf>
    <xf numFmtId="1" fontId="20" fillId="0" borderId="13" xfId="0" applyNumberFormat="1" applyFont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 vertical="center" wrapText="1"/>
    </xf>
    <xf numFmtId="2" fontId="7" fillId="0" borderId="18" xfId="0" applyNumberFormat="1" applyFont="1" applyBorder="1" applyAlignment="1">
      <alignment horizontal="center"/>
    </xf>
    <xf numFmtId="1" fontId="4" fillId="0" borderId="19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7" fontId="7" fillId="0" borderId="22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167" fontId="7" fillId="2" borderId="29" xfId="0" applyNumberFormat="1" applyFont="1" applyFill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67" fontId="7" fillId="2" borderId="31" xfId="0" applyNumberFormat="1" applyFont="1" applyFill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164" fontId="7" fillId="0" borderId="33" xfId="0" applyNumberFormat="1" applyFont="1" applyBorder="1" applyAlignment="1">
      <alignment horizontal="center" vertical="center"/>
    </xf>
    <xf numFmtId="0" fontId="0" fillId="0" borderId="3" xfId="0" applyBorder="1"/>
    <xf numFmtId="167" fontId="0" fillId="0" borderId="3" xfId="0" applyNumberFormat="1" applyBorder="1"/>
    <xf numFmtId="0" fontId="1" fillId="0" borderId="3" xfId="0" applyFont="1" applyBorder="1"/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8" fontId="4" fillId="0" borderId="0" xfId="0" applyNumberFormat="1" applyFont="1" applyAlignment="1">
      <alignment horizontal="left"/>
    </xf>
    <xf numFmtId="168" fontId="4" fillId="0" borderId="0" xfId="0" applyNumberFormat="1" applyFont="1"/>
    <xf numFmtId="167" fontId="4" fillId="0" borderId="6" xfId="0" applyNumberFormat="1" applyFont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left" vertical="center"/>
    </xf>
    <xf numFmtId="167" fontId="4" fillId="2" borderId="4" xfId="0" applyNumberFormat="1" applyFont="1" applyFill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1" fontId="24" fillId="0" borderId="0" xfId="0" applyNumberFormat="1" applyFont="1" applyAlignment="1">
      <alignment vertical="center"/>
    </xf>
    <xf numFmtId="2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4" fillId="0" borderId="0" xfId="0" applyFont="1" applyAlignment="1">
      <alignment horizontal="justify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23" fillId="0" borderId="0" xfId="0" applyFont="1" applyAlignment="1">
      <alignment horizontal="justify"/>
    </xf>
    <xf numFmtId="0" fontId="4" fillId="0" borderId="34" xfId="0" applyFont="1" applyBorder="1"/>
    <xf numFmtId="0" fontId="21" fillId="0" borderId="0" xfId="0" applyFont="1"/>
    <xf numFmtId="0" fontId="19" fillId="0" borderId="9" xfId="0" applyFont="1" applyBorder="1"/>
    <xf numFmtId="0" fontId="4" fillId="0" borderId="5" xfId="0" applyFont="1" applyBorder="1"/>
    <xf numFmtId="167" fontId="24" fillId="0" borderId="0" xfId="0" applyNumberFormat="1" applyFont="1"/>
    <xf numFmtId="0" fontId="4" fillId="0" borderId="9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9" xfId="0" applyFont="1" applyBorder="1"/>
    <xf numFmtId="167" fontId="4" fillId="0" borderId="9" xfId="0" applyNumberFormat="1" applyFont="1" applyBorder="1"/>
    <xf numFmtId="0" fontId="24" fillId="0" borderId="0" xfId="0" applyFont="1" applyAlignment="1">
      <alignment horizontal="right"/>
    </xf>
    <xf numFmtId="14" fontId="4" fillId="0" borderId="0" xfId="0" applyNumberFormat="1" applyFont="1"/>
    <xf numFmtId="0" fontId="4" fillId="0" borderId="35" xfId="0" applyFont="1" applyBorder="1"/>
    <xf numFmtId="0" fontId="24" fillId="0" borderId="6" xfId="0" applyFont="1" applyBorder="1" applyAlignment="1">
      <alignment horizontal="right"/>
    </xf>
    <xf numFmtId="0" fontId="9" fillId="0" borderId="0" xfId="0" applyFont="1"/>
    <xf numFmtId="165" fontId="7" fillId="2" borderId="0" xfId="0" applyNumberFormat="1" applyFont="1" applyFill="1" applyAlignment="1">
      <alignment horizontal="center"/>
    </xf>
    <xf numFmtId="0" fontId="22" fillId="0" borderId="0" xfId="0" applyFont="1"/>
    <xf numFmtId="49" fontId="21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/>
    </xf>
    <xf numFmtId="2" fontId="4" fillId="0" borderId="4" xfId="0" applyNumberFormat="1" applyFont="1" applyBorder="1" applyAlignment="1">
      <alignment horizontal="center" vertical="center"/>
    </xf>
    <xf numFmtId="49" fontId="21" fillId="0" borderId="9" xfId="0" applyNumberFormat="1" applyFont="1" applyBorder="1" applyAlignment="1">
      <alignment vertical="center"/>
    </xf>
    <xf numFmtId="1" fontId="4" fillId="0" borderId="0" xfId="0" applyNumberFormat="1" applyFont="1" applyAlignment="1">
      <alignment vertical="center" wrapText="1"/>
    </xf>
    <xf numFmtId="0" fontId="24" fillId="0" borderId="9" xfId="0" applyFont="1" applyBorder="1"/>
    <xf numFmtId="164" fontId="4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7" fontId="4" fillId="0" borderId="9" xfId="0" applyNumberFormat="1" applyFont="1" applyBorder="1" applyAlignment="1">
      <alignment vertical="center"/>
    </xf>
    <xf numFmtId="0" fontId="16" fillId="0" borderId="0" xfId="1" applyFont="1" applyAlignment="1">
      <alignment horizontal="left" vertical="center"/>
    </xf>
    <xf numFmtId="167" fontId="4" fillId="0" borderId="6" xfId="0" applyNumberFormat="1" applyFont="1" applyBorder="1" applyAlignment="1">
      <alignment vertical="center"/>
    </xf>
    <xf numFmtId="169" fontId="2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6" fillId="0" borderId="0" xfId="0" applyFont="1"/>
    <xf numFmtId="167" fontId="4" fillId="0" borderId="2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horizontal="left" vertical="center"/>
    </xf>
    <xf numFmtId="167" fontId="0" fillId="0" borderId="0" xfId="0" applyNumberFormat="1"/>
    <xf numFmtId="49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" fontId="4" fillId="0" borderId="0" xfId="0" applyNumberFormat="1" applyFont="1" applyAlignment="1">
      <alignment vertical="top"/>
    </xf>
    <xf numFmtId="1" fontId="24" fillId="0" borderId="0" xfId="0" applyNumberFormat="1" applyFont="1" applyAlignment="1">
      <alignment vertical="top"/>
    </xf>
    <xf numFmtId="167" fontId="24" fillId="0" borderId="5" xfId="0" applyNumberFormat="1" applyFont="1" applyBorder="1"/>
    <xf numFmtId="0" fontId="24" fillId="0" borderId="9" xfId="0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/>
    </xf>
    <xf numFmtId="2" fontId="27" fillId="0" borderId="11" xfId="0" applyNumberFormat="1" applyFont="1" applyBorder="1" applyAlignment="1">
      <alignment horizontal="center"/>
    </xf>
    <xf numFmtId="49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left" vertical="center"/>
    </xf>
    <xf numFmtId="167" fontId="4" fillId="0" borderId="9" xfId="0" applyNumberFormat="1" applyFont="1" applyBorder="1" applyAlignment="1">
      <alignment horizontal="right"/>
    </xf>
    <xf numFmtId="167" fontId="24" fillId="0" borderId="9" xfId="0" applyNumberFormat="1" applyFont="1" applyBorder="1"/>
    <xf numFmtId="0" fontId="29" fillId="0" borderId="6" xfId="0" applyFont="1" applyBorder="1" applyAlignment="1">
      <alignment horizontal="center"/>
    </xf>
    <xf numFmtId="0" fontId="29" fillId="0" borderId="0" xfId="0" applyFont="1"/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" fontId="4" fillId="0" borderId="0" xfId="0" applyNumberFormat="1" applyFont="1" applyAlignment="1">
      <alignment horizontal="center" vertical="top"/>
    </xf>
    <xf numFmtId="0" fontId="29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vertical="top"/>
    </xf>
    <xf numFmtId="2" fontId="2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7" fillId="0" borderId="36" xfId="0" applyFont="1" applyBorder="1" applyAlignment="1">
      <alignment horizontal="center" vertical="top"/>
    </xf>
    <xf numFmtId="0" fontId="11" fillId="0" borderId="36" xfId="0" applyFont="1" applyBorder="1" applyAlignment="1">
      <alignment vertical="top"/>
    </xf>
    <xf numFmtId="0" fontId="7" fillId="0" borderId="0" xfId="0" applyFont="1" applyAlignment="1">
      <alignment horizontal="center" vertical="top"/>
    </xf>
    <xf numFmtId="2" fontId="7" fillId="0" borderId="36" xfId="0" applyNumberFormat="1" applyFont="1" applyBorder="1" applyAlignment="1">
      <alignment horizontal="left" vertical="top"/>
    </xf>
    <xf numFmtId="0" fontId="4" fillId="0" borderId="36" xfId="0" applyFont="1" applyBorder="1" applyAlignment="1">
      <alignment vertical="top"/>
    </xf>
    <xf numFmtId="14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7" fillId="0" borderId="36" xfId="0" applyNumberFormat="1" applyFont="1" applyBorder="1" applyAlignment="1">
      <alignment horizontal="left" vertical="top"/>
    </xf>
    <xf numFmtId="164" fontId="4" fillId="0" borderId="36" xfId="0" applyNumberFormat="1" applyFont="1" applyBorder="1" applyAlignment="1">
      <alignment vertical="top"/>
    </xf>
    <xf numFmtId="1" fontId="5" fillId="0" borderId="7" xfId="0" applyNumberFormat="1" applyFon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4" xfId="0" applyFont="1" applyBorder="1"/>
    <xf numFmtId="0" fontId="4" fillId="0" borderId="0" xfId="0" applyFont="1" applyAlignment="1">
      <alignment wrapText="1"/>
    </xf>
    <xf numFmtId="0" fontId="4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/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3" fillId="0" borderId="0" xfId="0" applyNumberFormat="1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167" fontId="4" fillId="0" borderId="7" xfId="0" applyNumberFormat="1" applyFont="1" applyBorder="1" applyAlignment="1">
      <alignment horizontal="center" vertical="center"/>
    </xf>
    <xf numFmtId="167" fontId="1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7" fontId="4" fillId="2" borderId="7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34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/>
    </xf>
    <xf numFmtId="2" fontId="4" fillId="0" borderId="37" xfId="0" applyNumberFormat="1" applyFont="1" applyBorder="1" applyAlignment="1">
      <alignment horizontal="center" vertical="center"/>
    </xf>
    <xf numFmtId="2" fontId="14" fillId="0" borderId="3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7" fillId="0" borderId="4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5" xfId="0" applyFont="1" applyBorder="1"/>
    <xf numFmtId="167" fontId="24" fillId="0" borderId="7" xfId="0" applyNumberFormat="1" applyFont="1" applyBorder="1" applyAlignment="1">
      <alignment horizontal="center"/>
    </xf>
    <xf numFmtId="167" fontId="24" fillId="0" borderId="4" xfId="0" applyNumberFormat="1" applyFont="1" applyBorder="1" applyAlignment="1">
      <alignment horizontal="center"/>
    </xf>
    <xf numFmtId="0" fontId="4" fillId="0" borderId="10" xfId="0" applyFont="1" applyBorder="1"/>
    <xf numFmtId="0" fontId="4" fillId="0" borderId="34" xfId="0" applyFont="1" applyBorder="1"/>
    <xf numFmtId="0" fontId="4" fillId="0" borderId="37" xfId="0" applyFont="1" applyBorder="1" applyAlignment="1">
      <alignment horizontal="center"/>
    </xf>
    <xf numFmtId="0" fontId="4" fillId="0" borderId="36" xfId="0" applyFont="1" applyBorder="1"/>
    <xf numFmtId="0" fontId="4" fillId="0" borderId="38" xfId="0" applyFont="1" applyBorder="1"/>
    <xf numFmtId="0" fontId="4" fillId="0" borderId="37" xfId="0" applyFont="1" applyBorder="1"/>
    <xf numFmtId="0" fontId="4" fillId="0" borderId="35" xfId="0" applyFont="1" applyBorder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4" fillId="0" borderId="0" xfId="0" applyFont="1" applyAlignment="1">
      <alignment horizontal="justify"/>
    </xf>
    <xf numFmtId="0" fontId="4" fillId="0" borderId="3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center" vertical="center"/>
    </xf>
  </cellXfs>
  <cellStyles count="2">
    <cellStyle name="Normale" xfId="0" builtinId="0"/>
    <cellStyle name="Normale_Foglio2" xfId="1" xr:uid="{AF99DE47-2A47-4C28-B8DF-459AFDFC4CB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6199135012124191E-2"/>
          <c:w val="0.90092970053060961"/>
          <c:h val="0.88461636185878489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Foglio2!$B$20:$B$36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Foglio2!$F$20:$F$36</c:f>
              <c:numCache>
                <c:formatCode>0.0</c:formatCode>
                <c:ptCount val="17"/>
                <c:pt idx="4">
                  <c:v>100</c:v>
                </c:pt>
                <c:pt idx="5">
                  <c:v>97.582602583964118</c:v>
                </c:pt>
                <c:pt idx="6">
                  <c:v>95.152765730109863</c:v>
                </c:pt>
                <c:pt idx="7">
                  <c:v>92.262669676976046</c:v>
                </c:pt>
                <c:pt idx="8">
                  <c:v>90.056742703852393</c:v>
                </c:pt>
                <c:pt idx="9">
                  <c:v>88.160986325265156</c:v>
                </c:pt>
                <c:pt idx="10">
                  <c:v>87.030184274879787</c:v>
                </c:pt>
                <c:pt idx="11">
                  <c:v>82.623382166760337</c:v>
                </c:pt>
                <c:pt idx="12">
                  <c:v>75.705534329108673</c:v>
                </c:pt>
                <c:pt idx="13">
                  <c:v>66.010569691245877</c:v>
                </c:pt>
                <c:pt idx="14">
                  <c:v>55.334467980254615</c:v>
                </c:pt>
                <c:pt idx="15">
                  <c:v>45.423320597465214</c:v>
                </c:pt>
                <c:pt idx="16">
                  <c:v>36.31038642671254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10-4C8F-91F2-41EC4DA43E29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Foglio1!$D$18:$D$19</c:f>
              <c:numCache>
                <c:formatCode>0.000</c:formatCode>
                <c:ptCount val="2"/>
              </c:numCache>
            </c:numRef>
          </c:xVal>
          <c:yVal>
            <c:numRef>
              <c:f>Foglio1!$E$18:$E$19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10-4C8F-91F2-41EC4DA43E29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Foglio1!$D$20:$D$21</c:f>
              <c:numCache>
                <c:formatCode>0.000</c:formatCode>
                <c:ptCount val="2"/>
              </c:numCache>
            </c:numRef>
          </c:xVal>
          <c:yVal>
            <c:numRef>
              <c:f>Foglio1!$E$20:$E$21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10-4C8F-91F2-41EC4DA43E29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Foglio1!$D$22:$D$23</c:f>
              <c:numCache>
                <c:formatCode>0.000</c:formatCode>
                <c:ptCount val="2"/>
              </c:numCache>
            </c:numRef>
          </c:xVal>
          <c:yVal>
            <c:numRef>
              <c:f>Foglio1!$E$22:$E$23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10-4C8F-91F2-41EC4DA43E29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Foglio1!$D$24:$D$25</c:f>
              <c:numCache>
                <c:formatCode>0.000</c:formatCode>
                <c:ptCount val="2"/>
              </c:numCache>
            </c:numRef>
          </c:xVal>
          <c:yVal>
            <c:numRef>
              <c:f>Foglio1!$E$24:$E$25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10-4C8F-91F2-41EC4DA43E29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Foglio1!$D$26:$D$27</c:f>
              <c:numCache>
                <c:formatCode>0.000</c:formatCode>
                <c:ptCount val="2"/>
              </c:numCache>
            </c:numRef>
          </c:xVal>
          <c:yVal>
            <c:numRef>
              <c:f>Foglio1!$E$26:$E$27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10-4C8F-91F2-41EC4DA43E29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Foglio1!$D$28:$D$29</c:f>
              <c:numCache>
                <c:formatCode>0.000</c:formatCode>
                <c:ptCount val="2"/>
              </c:numCache>
            </c:numRef>
          </c:xVal>
          <c:yVal>
            <c:numRef>
              <c:f>Foglio1!$E$28:$E$29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10-4C8F-91F2-41EC4DA43E29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Foglio1!$D$30:$D$31</c:f>
              <c:numCache>
                <c:formatCode>0.000</c:formatCode>
                <c:ptCount val="2"/>
              </c:numCache>
            </c:numRef>
          </c:xVal>
          <c:yVal>
            <c:numRef>
              <c:f>Foglio1!$E$30:$E$31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10-4C8F-91F2-41EC4DA43E29}"/>
            </c:ext>
          </c:extLst>
        </c:ser>
        <c:ser>
          <c:idx val="9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Foglio1!$D$32:$D$33</c:f>
              <c:numCache>
                <c:formatCode>0.000</c:formatCode>
                <c:ptCount val="2"/>
              </c:numCache>
            </c:numRef>
          </c:xVal>
          <c:yVal>
            <c:numRef>
              <c:f>Foglio1!$E$32:$E$33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10-4C8F-91F2-41EC4DA43E29}"/>
            </c:ext>
          </c:extLst>
        </c:ser>
        <c:ser>
          <c:idx val="10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Foglio1!$D$34:$D$35</c:f>
              <c:numCache>
                <c:formatCode>0.000</c:formatCode>
                <c:ptCount val="2"/>
              </c:numCache>
            </c:numRef>
          </c:xVal>
          <c:yVal>
            <c:numRef>
              <c:f>Foglio1!$E$34:$E$35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10-4C8F-91F2-41EC4DA43E29}"/>
            </c:ext>
          </c:extLst>
        </c:ser>
        <c:ser>
          <c:idx val="11"/>
          <c:order val="1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Foglio1!$D$36:$D$37</c:f>
              <c:numCache>
                <c:formatCode>0.000</c:formatCode>
                <c:ptCount val="2"/>
              </c:numCache>
            </c:numRef>
          </c:xVal>
          <c:yVal>
            <c:numRef>
              <c:f>Foglio1!$E$36:$E$37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10-4C8F-91F2-41EC4DA43E29}"/>
            </c:ext>
          </c:extLst>
        </c:ser>
        <c:ser>
          <c:idx val="1"/>
          <c:order val="1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Foglio3!$F$8:$F$15</c:f>
              <c:numCache>
                <c:formatCode>General</c:formatCode>
                <c:ptCount val="8"/>
                <c:pt idx="0">
                  <c:v>6.3E-2</c:v>
                </c:pt>
                <c:pt idx="1">
                  <c:v>4.6041029013912237E-2</c:v>
                </c:pt>
                <c:pt idx="2">
                  <c:v>2.2784133623923244E-2</c:v>
                </c:pt>
                <c:pt idx="3">
                  <c:v>1.3345098061616906E-2</c:v>
                </c:pt>
                <c:pt idx="4">
                  <c:v>6.966556918695418E-3</c:v>
                </c:pt>
                <c:pt idx="5">
                  <c:v>4.7605085276129534E-3</c:v>
                </c:pt>
                <c:pt idx="6">
                  <c:v>2.8018067117043786E-3</c:v>
                </c:pt>
                <c:pt idx="7">
                  <c:v>1.4028034217721114E-3</c:v>
                </c:pt>
              </c:numCache>
            </c:numRef>
          </c:xVal>
          <c:yVal>
            <c:numRef>
              <c:f>Foglio3!$H$8:$H$15</c:f>
              <c:numCache>
                <c:formatCode>0.0</c:formatCode>
                <c:ptCount val="8"/>
                <c:pt idx="0">
                  <c:v>36.310386426712533</c:v>
                </c:pt>
                <c:pt idx="1">
                  <c:v>31.503737563038822</c:v>
                </c:pt>
                <c:pt idx="2">
                  <c:v>22.339687655344711</c:v>
                </c:pt>
                <c:pt idx="3">
                  <c:v>16.102068783264716</c:v>
                </c:pt>
                <c:pt idx="4">
                  <c:v>10.046231337535522</c:v>
                </c:pt>
                <c:pt idx="5">
                  <c:v>7.0319253942610782</c:v>
                </c:pt>
                <c:pt idx="6">
                  <c:v>5.0021716492514487</c:v>
                </c:pt>
                <c:pt idx="7">
                  <c:v>3.2208802901027882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10-4C8F-91F2-41EC4DA43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25632"/>
        <c:axId val="1"/>
      </c:scatterChart>
      <c:valAx>
        <c:axId val="149725632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49725632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128384</xdr:rowOff>
    </xdr:from>
    <xdr:to>
      <xdr:col>51</xdr:col>
      <xdr:colOff>114300</xdr:colOff>
      <xdr:row>37</xdr:row>
      <xdr:rowOff>99076</xdr:rowOff>
    </xdr:to>
    <xdr:graphicFrame macro="">
      <xdr:nvGraphicFramePr>
        <xdr:cNvPr id="1563" name="Chart 1">
          <a:extLst>
            <a:ext uri="{FF2B5EF4-FFF2-40B4-BE49-F238E27FC236}">
              <a16:creationId xmlns:a16="http://schemas.microsoft.com/office/drawing/2014/main" id="{B7A6C67A-3F2E-BEC6-2994-FC3CECDAC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76200</xdr:colOff>
      <xdr:row>18</xdr:row>
      <xdr:rowOff>104775</xdr:rowOff>
    </xdr:from>
    <xdr:to>
      <xdr:col>51</xdr:col>
      <xdr:colOff>47625</xdr:colOff>
      <xdr:row>34</xdr:row>
      <xdr:rowOff>38100</xdr:rowOff>
    </xdr:to>
    <xdr:sp macro="" textlink="">
      <xdr:nvSpPr>
        <xdr:cNvPr id="1046" name="Testo 1">
          <a:extLst>
            <a:ext uri="{FF2B5EF4-FFF2-40B4-BE49-F238E27FC236}">
              <a16:creationId xmlns:a16="http://schemas.microsoft.com/office/drawing/2014/main" id="{05682CD8-21C2-DEB1-750D-CD67EB8401AC}"/>
            </a:ext>
          </a:extLst>
        </xdr:cNvPr>
        <xdr:cNvSpPr txBox="1">
          <a:spLocks noChangeArrowheads="1"/>
        </xdr:cNvSpPr>
      </xdr:nvSpPr>
      <xdr:spPr bwMode="auto">
        <a:xfrm>
          <a:off x="9010650" y="3371850"/>
          <a:ext cx="152400" cy="2524125"/>
        </a:xfrm>
        <a:prstGeom prst="rect">
          <a:avLst/>
        </a:prstGeom>
        <a:noFill/>
        <a:ln>
          <a:noFill/>
        </a:ln>
      </xdr:spPr>
      <xdr:txBody>
        <a:bodyPr vertOverflow="clip" vert="wordArtVert" wrap="square" lIns="27432" tIns="0" rIns="27432" bIns="0" anchor="ctr" upright="1"/>
        <a:lstStyle/>
        <a:p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 %</a:t>
          </a:r>
          <a:endParaRPr lang="it-IT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0.86324</cdr:x>
      <cdr:y>0.95643</cdr:y>
    </cdr:from>
    <cdr:to>
      <cdr:x>0.89862</cdr:x>
      <cdr:y>0.98403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55788" y="3984375"/>
          <a:ext cx="333756" cy="16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strike="noStrike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0.01282</cdr:x>
      <cdr:y>0.2659</cdr:y>
    </cdr:from>
    <cdr:to>
      <cdr:x>0.0294</cdr:x>
      <cdr:y>0.93575</cdr:y>
    </cdr:to>
    <cdr:sp macro="" textlink="">
      <cdr:nvSpPr>
        <cdr:cNvPr id="58374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666" y="1124156"/>
          <a:ext cx="153162" cy="25240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vert="wordArtVert" wrap="square" lIns="27432" tIns="0" rIns="27432" bIns="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 %</a:t>
          </a:r>
          <a:endParaRPr lang="it-IT"/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9"/>
  <sheetViews>
    <sheetView zoomScale="130" zoomScaleNormal="130" workbookViewId="0">
      <selection activeCell="U7" sqref="U7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2.85546875" customWidth="1"/>
    <col min="11" max="11" width="2.7109375" customWidth="1"/>
    <col min="12" max="12" width="3" customWidth="1"/>
    <col min="13" max="13" width="3.42578125" customWidth="1"/>
    <col min="14" max="14" width="2.7109375" customWidth="1"/>
    <col min="15" max="15" width="1.5703125" customWidth="1"/>
    <col min="16" max="17" width="2.7109375" customWidth="1"/>
    <col min="18" max="18" width="2.28515625" customWidth="1"/>
    <col min="19" max="19" width="1.7109375" customWidth="1"/>
    <col min="20" max="20" width="2.42578125" customWidth="1"/>
    <col min="21" max="23" width="2.7109375" customWidth="1"/>
    <col min="24" max="24" width="2.7109375" style="5" customWidth="1"/>
    <col min="25" max="25" width="2" style="5" customWidth="1"/>
    <col min="26" max="29" width="2.7109375" style="5" customWidth="1"/>
    <col min="30" max="30" width="1.42578125" style="5" customWidth="1"/>
    <col min="31" max="31" width="2.7109375" style="5" customWidth="1"/>
    <col min="32" max="32" width="2" style="5" customWidth="1"/>
    <col min="33" max="33" width="2.140625" style="5" customWidth="1"/>
    <col min="34" max="34" width="2.7109375" style="5" customWidth="1"/>
    <col min="35" max="35" width="3.28515625" style="5" customWidth="1"/>
    <col min="36" max="38" width="2.7109375" style="5" customWidth="1"/>
    <col min="39" max="39" width="4" customWidth="1"/>
    <col min="40" max="43" width="2.7109375" customWidth="1"/>
    <col min="44" max="44" width="2.28515625" customWidth="1"/>
    <col min="45" max="46" width="2.7109375" style="5" customWidth="1"/>
    <col min="47" max="47" width="3.5703125" style="5" customWidth="1"/>
    <col min="48" max="48" width="3" style="5" customWidth="1"/>
    <col min="49" max="52" width="2.7109375" style="5" customWidth="1"/>
    <col min="53" max="57" width="9.140625" style="5"/>
  </cols>
  <sheetData>
    <row r="1" spans="1:57" ht="12.95" customHeight="1" x14ac:dyDescent="0.2">
      <c r="A1" s="38" t="s">
        <v>135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AP1" s="247" t="s">
        <v>54</v>
      </c>
      <c r="AQ1" s="248"/>
      <c r="AR1" s="248"/>
      <c r="AS1" s="248"/>
      <c r="AT1" s="248"/>
      <c r="AU1" s="248"/>
      <c r="AV1" s="248"/>
      <c r="AW1" s="248"/>
      <c r="AX1" s="248"/>
      <c r="AY1" s="248"/>
    </row>
    <row r="2" spans="1:57" ht="18" customHeight="1" x14ac:dyDescent="0.2">
      <c r="A2" s="245" t="str">
        <f>Foglio2!A2</f>
        <v>VERBALE ACCETTAZIONE NR: 22/27.02.2026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AP2" s="248"/>
      <c r="AQ2" s="248"/>
      <c r="AR2" s="248"/>
      <c r="AS2" s="248"/>
      <c r="AT2" s="248"/>
      <c r="AU2" s="248"/>
      <c r="AV2" s="248"/>
      <c r="AW2" s="248"/>
      <c r="AX2" s="248"/>
      <c r="AY2" s="248"/>
    </row>
    <row r="3" spans="1:57" ht="18" x14ac:dyDescent="0.2">
      <c r="A3" s="48"/>
      <c r="B3" s="51"/>
      <c r="C3" s="52"/>
      <c r="D3" s="52"/>
      <c r="E3" s="33"/>
      <c r="F3" s="33"/>
      <c r="G3" s="33"/>
      <c r="H3" s="33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81"/>
      <c r="Z3" s="45"/>
      <c r="AA3" s="4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44"/>
      <c r="AP3" s="44"/>
      <c r="AQ3" s="44"/>
      <c r="AR3" s="45"/>
      <c r="AS3" s="33"/>
      <c r="AT3" s="45"/>
      <c r="AU3" s="56"/>
      <c r="AV3" s="45"/>
      <c r="AW3" s="45"/>
      <c r="AX3" s="45"/>
      <c r="AZ3" s="87" t="s">
        <v>65</v>
      </c>
    </row>
    <row r="4" spans="1:57" ht="18" customHeight="1" x14ac:dyDescent="0.2">
      <c r="A4" s="48" t="s">
        <v>61</v>
      </c>
      <c r="B4" s="51"/>
      <c r="C4" s="52"/>
      <c r="D4" s="52"/>
      <c r="E4" s="33"/>
      <c r="F4" s="33"/>
      <c r="G4" s="33"/>
      <c r="H4" s="33"/>
      <c r="I4" s="45"/>
      <c r="J4" s="45"/>
      <c r="K4" s="45"/>
      <c r="L4" s="45"/>
      <c r="M4" s="44"/>
      <c r="N4" s="45"/>
      <c r="O4" s="44"/>
      <c r="P4" s="45"/>
      <c r="Q4" s="45"/>
      <c r="R4" s="44"/>
      <c r="S4" s="44"/>
      <c r="T4" s="44"/>
      <c r="U4" s="44"/>
      <c r="V4" s="44"/>
      <c r="W4" s="44"/>
      <c r="X4" s="45"/>
      <c r="Y4" s="82"/>
      <c r="Z4" s="45"/>
      <c r="AA4" s="45"/>
      <c r="AB4" s="174"/>
      <c r="AC4" s="174"/>
      <c r="AD4" s="174"/>
      <c r="AE4" s="174"/>
      <c r="AF4" s="174"/>
      <c r="AG4" s="174"/>
      <c r="AH4" s="174"/>
      <c r="AI4" s="174"/>
      <c r="AJ4" s="33"/>
      <c r="AK4" s="33"/>
      <c r="AL4" s="33"/>
      <c r="AM4" s="33"/>
      <c r="AN4" s="33"/>
      <c r="AO4" s="44"/>
      <c r="AP4" s="44"/>
      <c r="AQ4" s="44"/>
      <c r="AR4" s="46"/>
      <c r="AS4" s="46"/>
      <c r="AT4" s="42"/>
      <c r="AU4" s="46" t="s">
        <v>66</v>
      </c>
      <c r="AV4" s="43"/>
      <c r="AW4" s="45"/>
      <c r="AX4" s="45"/>
    </row>
    <row r="5" spans="1:57" ht="15.75" customHeight="1" x14ac:dyDescent="0.25">
      <c r="A5" s="251" t="str">
        <f>Foglio2!A9</f>
        <v xml:space="preserve">AUFTRAGGEBER/COMMITT.: </v>
      </c>
      <c r="B5" s="251"/>
      <c r="C5" s="251"/>
      <c r="D5" s="251"/>
      <c r="E5" s="251"/>
      <c r="F5" s="251"/>
      <c r="G5" s="251"/>
      <c r="H5" s="251"/>
      <c r="I5" s="251"/>
      <c r="J5" s="251"/>
      <c r="L5" s="150" t="str">
        <f>Foglio2!D9</f>
        <v>Cantina Produttori Bolzano Soc. Agric. Coop.</v>
      </c>
      <c r="M5" s="222"/>
      <c r="N5" s="44"/>
      <c r="O5" s="45"/>
      <c r="P5" s="44"/>
      <c r="Q5" s="44"/>
      <c r="R5" s="44"/>
      <c r="S5" s="44"/>
      <c r="T5" s="44"/>
      <c r="U5" s="44"/>
      <c r="V5" s="45"/>
      <c r="W5" s="45"/>
      <c r="X5" s="45"/>
      <c r="Y5" s="45"/>
      <c r="Z5" s="45"/>
      <c r="AA5" s="45"/>
      <c r="AD5" s="45"/>
      <c r="AE5" s="45"/>
      <c r="AF5" s="45"/>
      <c r="AG5" s="45"/>
      <c r="AH5" s="45"/>
      <c r="AI5" s="45"/>
      <c r="AJ5" s="45"/>
      <c r="AK5" s="45"/>
      <c r="AL5" s="45"/>
      <c r="AM5" s="44"/>
      <c r="AN5" s="44"/>
      <c r="AO5" s="44"/>
      <c r="AP5" s="44"/>
      <c r="AQ5" s="44"/>
      <c r="AR5" s="44"/>
      <c r="AT5" s="167"/>
      <c r="AU5" s="167"/>
      <c r="AV5" s="167"/>
      <c r="AW5" s="167"/>
      <c r="AX5" s="167"/>
      <c r="AY5" s="167"/>
      <c r="AZ5" s="167"/>
    </row>
    <row r="6" spans="1:57" ht="15" customHeight="1" x14ac:dyDescent="0.25">
      <c r="A6" s="33" t="str">
        <f>Foglio2!A10</f>
        <v xml:space="preserve">BEZUG/RIF.: </v>
      </c>
      <c r="B6" s="55"/>
      <c r="C6" s="50"/>
      <c r="D6" s="83"/>
      <c r="E6" s="44"/>
      <c r="F6" s="46"/>
      <c r="G6" s="44"/>
      <c r="H6" s="37">
        <f>Foglio2!C10</f>
        <v>0</v>
      </c>
      <c r="I6" s="44"/>
      <c r="J6" s="44"/>
      <c r="L6" s="150" t="str">
        <f>Foglio2!D10</f>
        <v>GIR Carlo Ferretti</v>
      </c>
      <c r="M6" s="223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D6" s="44"/>
      <c r="AE6" s="45"/>
      <c r="AF6" s="45"/>
      <c r="AH6" s="45"/>
      <c r="AI6" s="55" t="str">
        <f>Foglio2!A13</f>
        <v xml:space="preserve">BOHRUNG/SONDAGGIO: </v>
      </c>
      <c r="AJ6" s="44"/>
      <c r="AK6"/>
      <c r="AL6"/>
      <c r="AN6" s="44"/>
      <c r="AQ6" t="str">
        <f>Foglio2!D13</f>
        <v>\</v>
      </c>
      <c r="AS6" s="192"/>
      <c r="AT6" s="189"/>
      <c r="AU6" s="189"/>
      <c r="AV6" s="189"/>
      <c r="AW6" s="186"/>
      <c r="AX6" s="186"/>
      <c r="AY6" s="186"/>
      <c r="AZ6" s="186"/>
    </row>
    <row r="7" spans="1:57" ht="15.75" customHeight="1" x14ac:dyDescent="0.25">
      <c r="A7" s="33" t="str">
        <f>Foglio2!A11</f>
        <v>ORT/LOCALITA':</v>
      </c>
      <c r="B7" s="55"/>
      <c r="C7" s="50"/>
      <c r="D7" s="83"/>
      <c r="E7" s="44"/>
      <c r="F7" s="46"/>
      <c r="G7" s="44"/>
      <c r="H7" s="37">
        <f>Foglio2!C11</f>
        <v>0</v>
      </c>
      <c r="I7" s="44"/>
      <c r="J7" s="44"/>
      <c r="L7" s="150" t="str">
        <f>Foglio2!D11</f>
        <v>Bolzano (Bz)</v>
      </c>
      <c r="M7" s="223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D7" s="44"/>
      <c r="AE7" s="45"/>
      <c r="AF7" s="45"/>
      <c r="AH7" s="44"/>
      <c r="AI7" s="55" t="str">
        <f>Foglio2!A14</f>
        <v>PROBE/CAMP.:</v>
      </c>
      <c r="AJ7" s="44"/>
      <c r="AK7"/>
      <c r="AL7" s="132"/>
      <c r="AN7" s="44"/>
      <c r="AO7" s="186"/>
      <c r="AP7" s="186"/>
      <c r="AQ7" s="12" t="str">
        <f>Foglio2!D14</f>
        <v>2_Ei</v>
      </c>
      <c r="AR7" s="186"/>
      <c r="AS7" s="189"/>
      <c r="AT7" s="189"/>
      <c r="AU7" s="186"/>
      <c r="AV7" s="186"/>
      <c r="AW7" s="186"/>
      <c r="AX7" s="186"/>
      <c r="AY7" s="186"/>
      <c r="AZ7" s="186"/>
    </row>
    <row r="8" spans="1:57" ht="15.75" customHeight="1" x14ac:dyDescent="0.25">
      <c r="A8" s="55" t="str">
        <f>Foglio2!A12</f>
        <v>PROJEKT/PROG.:</v>
      </c>
      <c r="B8" s="55"/>
      <c r="C8" s="50"/>
      <c r="D8" s="83"/>
      <c r="E8" s="44"/>
      <c r="F8" s="46"/>
      <c r="G8" s="44"/>
      <c r="H8" s="190">
        <f>Foglio2!C12</f>
        <v>0</v>
      </c>
      <c r="I8" s="44"/>
      <c r="J8" s="44"/>
      <c r="L8" s="150" t="str">
        <f>Foglio2!D12</f>
        <v>Lagrein 39100</v>
      </c>
      <c r="M8" s="223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D8" s="44"/>
      <c r="AE8" s="45"/>
      <c r="AF8" s="45"/>
      <c r="AH8" s="44"/>
      <c r="AI8" s="33" t="str">
        <f>Foglio2!A15</f>
        <v xml:space="preserve">TIEFE/PROF. m: </v>
      </c>
      <c r="AJ8"/>
      <c r="AK8"/>
      <c r="AL8"/>
      <c r="AO8" s="186"/>
      <c r="AP8" s="186"/>
      <c r="AQ8" t="str">
        <f>Foglio2!D15</f>
        <v>\</v>
      </c>
      <c r="AR8" s="201"/>
      <c r="AS8" s="201"/>
      <c r="AT8" s="201"/>
      <c r="AU8" s="201"/>
      <c r="AV8" s="186"/>
      <c r="AW8" s="186"/>
      <c r="AX8" s="186"/>
      <c r="AY8" s="186"/>
      <c r="AZ8" s="186"/>
    </row>
    <row r="9" spans="1:57" ht="15.75" x14ac:dyDescent="0.2">
      <c r="A9" s="252" t="str">
        <f>Foglio2!A16</f>
        <v>BESCHREIBUNG/DESCRIZIONE:</v>
      </c>
      <c r="B9" s="252"/>
      <c r="C9" s="252"/>
      <c r="D9" s="253"/>
      <c r="E9" s="252"/>
      <c r="F9" s="252"/>
      <c r="G9" s="252"/>
      <c r="H9" s="252"/>
      <c r="I9" s="252"/>
      <c r="J9" s="252"/>
      <c r="K9" s="252"/>
      <c r="L9" s="202" t="str">
        <f>Foglio2!D16</f>
        <v>Sabbia marrone con limo e con ghiaia arrotondata calcarea</v>
      </c>
      <c r="M9" s="37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D9" s="45"/>
      <c r="AE9" s="45"/>
      <c r="AF9" s="45"/>
      <c r="AG9" s="45"/>
      <c r="AH9" s="44"/>
      <c r="AI9" s="85"/>
      <c r="AJ9" s="45"/>
      <c r="AK9" s="45"/>
      <c r="AL9" s="86"/>
      <c r="AM9" s="86"/>
      <c r="AN9" s="86"/>
      <c r="AO9" s="45"/>
      <c r="AP9" s="45"/>
      <c r="AQ9" s="45"/>
      <c r="AR9" s="44"/>
      <c r="AS9" s="170"/>
      <c r="AT9" s="170"/>
      <c r="AU9" s="170"/>
      <c r="AV9" s="170"/>
      <c r="AW9" s="170"/>
      <c r="AX9" s="170"/>
      <c r="AY9" s="170"/>
      <c r="AZ9" s="170"/>
    </row>
    <row r="10" spans="1:57" x14ac:dyDescent="0.2">
      <c r="A10" s="236" t="s">
        <v>28</v>
      </c>
      <c r="B10" s="239"/>
      <c r="C10" s="239"/>
      <c r="D10" s="239"/>
      <c r="E10" s="239"/>
      <c r="F10" s="240"/>
      <c r="G10" s="241" t="s">
        <v>29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8"/>
      <c r="U10" s="242" t="s">
        <v>30</v>
      </c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8"/>
      <c r="AJ10" s="241" t="s">
        <v>31</v>
      </c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8"/>
      <c r="AW10" s="241" t="s">
        <v>32</v>
      </c>
      <c r="AX10" s="249"/>
      <c r="AY10" s="249"/>
      <c r="AZ10" s="250"/>
    </row>
    <row r="11" spans="1:57" ht="15" x14ac:dyDescent="0.2">
      <c r="A11" s="34"/>
      <c r="B11" s="27"/>
      <c r="C11" s="28"/>
      <c r="D11" s="205"/>
      <c r="E11" s="24"/>
      <c r="F11" s="26"/>
      <c r="G11" s="236" t="s">
        <v>33</v>
      </c>
      <c r="H11" s="237"/>
      <c r="I11" s="237"/>
      <c r="J11" s="238"/>
      <c r="K11" s="241" t="s">
        <v>34</v>
      </c>
      <c r="L11" s="237"/>
      <c r="M11" s="237"/>
      <c r="N11" s="237"/>
      <c r="O11" s="238"/>
      <c r="P11" s="242" t="s">
        <v>35</v>
      </c>
      <c r="Q11" s="237"/>
      <c r="R11" s="237"/>
      <c r="S11" s="237"/>
      <c r="T11" s="238"/>
      <c r="U11" s="242" t="s">
        <v>33</v>
      </c>
      <c r="V11" s="237"/>
      <c r="W11" s="237"/>
      <c r="X11" s="237"/>
      <c r="Y11" s="238"/>
      <c r="Z11" s="242" t="s">
        <v>34</v>
      </c>
      <c r="AA11" s="243"/>
      <c r="AB11" s="243"/>
      <c r="AC11" s="243"/>
      <c r="AD11" s="244"/>
      <c r="AE11" s="241" t="s">
        <v>35</v>
      </c>
      <c r="AF11" s="243"/>
      <c r="AG11" s="243"/>
      <c r="AH11" s="243"/>
      <c r="AI11" s="244"/>
      <c r="AJ11" s="241" t="s">
        <v>33</v>
      </c>
      <c r="AK11" s="237"/>
      <c r="AL11" s="237"/>
      <c r="AM11" s="238"/>
      <c r="AN11" s="241" t="s">
        <v>34</v>
      </c>
      <c r="AO11" s="239"/>
      <c r="AP11" s="239"/>
      <c r="AQ11" s="239"/>
      <c r="AR11" s="240"/>
      <c r="AS11" s="241" t="s">
        <v>35</v>
      </c>
      <c r="AT11" s="243"/>
      <c r="AU11" s="243"/>
      <c r="AV11" s="244"/>
      <c r="AW11" s="29"/>
      <c r="AX11" s="25"/>
      <c r="AY11" s="25"/>
      <c r="AZ11" s="30"/>
    </row>
    <row r="12" spans="1:57" s="214" customFormat="1" ht="15" x14ac:dyDescent="0.2">
      <c r="A12" s="207"/>
      <c r="B12" s="208"/>
      <c r="C12" s="209"/>
      <c r="D12" s="210"/>
      <c r="E12" s="208"/>
      <c r="F12" s="224" t="s">
        <v>43</v>
      </c>
      <c r="G12" s="224"/>
      <c r="H12" s="211"/>
      <c r="I12" s="208"/>
      <c r="J12" s="224" t="s">
        <v>44</v>
      </c>
      <c r="K12" s="224"/>
      <c r="L12" s="212"/>
      <c r="M12" s="208"/>
      <c r="N12" s="208"/>
      <c r="O12" s="224" t="s">
        <v>45</v>
      </c>
      <c r="P12" s="225"/>
      <c r="Q12" s="208"/>
      <c r="R12" s="208"/>
      <c r="S12" s="208"/>
      <c r="T12" s="230">
        <v>0.06</v>
      </c>
      <c r="U12" s="231"/>
      <c r="V12" s="208"/>
      <c r="W12" s="208"/>
      <c r="X12" s="208"/>
      <c r="Y12" s="234" t="s">
        <v>46</v>
      </c>
      <c r="Z12" s="235"/>
      <c r="AA12" s="208"/>
      <c r="AB12" s="208"/>
      <c r="AC12" s="208"/>
      <c r="AD12" s="227" t="s">
        <v>47</v>
      </c>
      <c r="AE12" s="228"/>
      <c r="AF12" s="213"/>
      <c r="AG12" s="208"/>
      <c r="AH12" s="208"/>
      <c r="AI12" s="224">
        <v>2</v>
      </c>
      <c r="AJ12" s="224"/>
      <c r="AK12" s="208"/>
      <c r="AL12" s="208"/>
      <c r="AM12" s="224">
        <v>6</v>
      </c>
      <c r="AN12" s="224"/>
      <c r="AO12" s="213"/>
      <c r="AP12" s="208"/>
      <c r="AQ12" s="208"/>
      <c r="AR12" s="226">
        <v>20</v>
      </c>
      <c r="AS12" s="226"/>
      <c r="AT12" s="208"/>
      <c r="AU12" s="208"/>
      <c r="AV12" s="226">
        <v>60</v>
      </c>
      <c r="AW12" s="224"/>
      <c r="AX12" s="208"/>
      <c r="AY12" s="208"/>
      <c r="AZ12" s="208"/>
      <c r="BA12" s="208"/>
      <c r="BB12" s="208"/>
      <c r="BC12" s="208"/>
      <c r="BD12" s="208"/>
      <c r="BE12" s="208"/>
    </row>
    <row r="13" spans="1:57" x14ac:dyDescent="0.2">
      <c r="A13" s="6"/>
      <c r="D13" s="8"/>
      <c r="N13" s="5"/>
      <c r="O13" s="5"/>
      <c r="P13" s="5"/>
      <c r="Q13" s="5"/>
    </row>
    <row r="14" spans="1:57" x14ac:dyDescent="0.2">
      <c r="B14" s="6"/>
      <c r="C14" s="7"/>
      <c r="E14" s="9"/>
      <c r="F14" s="6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</row>
    <row r="15" spans="1:57" x14ac:dyDescent="0.2">
      <c r="A15" s="6"/>
      <c r="B15" s="6"/>
      <c r="C15" s="7"/>
      <c r="D15" s="7"/>
      <c r="E15" s="9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  <c r="Q15" s="5"/>
    </row>
    <row r="16" spans="1:57" x14ac:dyDescent="0.2">
      <c r="A16" s="6"/>
      <c r="B16" s="6"/>
      <c r="C16" s="7"/>
      <c r="D16" s="7"/>
      <c r="E16" s="9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">
      <c r="A17" s="6"/>
      <c r="B17" s="6"/>
      <c r="C17" s="7"/>
      <c r="D17" s="7"/>
      <c r="E17" s="9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">
      <c r="A18" s="6"/>
      <c r="B18" s="6"/>
      <c r="C18" s="7"/>
      <c r="D18" s="10"/>
      <c r="E18" s="9"/>
      <c r="F18" s="6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s="6"/>
      <c r="B19" s="6"/>
      <c r="C19" s="7"/>
      <c r="D19" s="10"/>
      <c r="E19" s="9"/>
      <c r="F19" s="6"/>
      <c r="G19" s="6"/>
      <c r="H19" s="6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">
      <c r="A20" s="6"/>
      <c r="B20" s="6"/>
      <c r="C20" s="7"/>
      <c r="D20" s="10"/>
      <c r="E20" s="9"/>
      <c r="F20" s="6"/>
      <c r="G20" s="6"/>
      <c r="H20" s="6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">
      <c r="A21" s="6"/>
      <c r="B21" s="6"/>
      <c r="C21" s="7"/>
      <c r="D21" s="10"/>
      <c r="E21" s="9"/>
      <c r="F21" s="6"/>
      <c r="G21" s="6"/>
      <c r="H21" s="6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">
      <c r="A22" s="6"/>
      <c r="B22" s="6"/>
      <c r="C22" s="7"/>
      <c r="D22" s="10"/>
      <c r="E22" s="9"/>
      <c r="F22" s="6"/>
      <c r="G22" s="6"/>
      <c r="H22" s="6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">
      <c r="A23" s="6"/>
      <c r="B23" s="6"/>
      <c r="C23" s="7"/>
      <c r="D23" s="10"/>
      <c r="E23" s="9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">
      <c r="A24" s="6"/>
      <c r="B24" s="6"/>
      <c r="C24" s="7"/>
      <c r="D24" s="10"/>
      <c r="E24" s="9"/>
      <c r="F24" s="6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">
      <c r="A25" s="6"/>
      <c r="B25" s="6"/>
      <c r="C25" s="7"/>
      <c r="D25" s="10"/>
      <c r="E25" s="9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">
      <c r="A26" s="6"/>
      <c r="B26" s="6"/>
      <c r="C26" s="7"/>
      <c r="D26" s="10"/>
      <c r="E26" s="9"/>
      <c r="F26" s="6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">
      <c r="A27" s="6"/>
      <c r="B27" s="6"/>
      <c r="C27" s="7"/>
      <c r="D27" s="10"/>
      <c r="E27" s="9"/>
      <c r="F27" s="6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">
      <c r="A28" s="6"/>
      <c r="B28" s="6"/>
      <c r="C28" s="7"/>
      <c r="D28" s="10"/>
      <c r="E28" s="9"/>
      <c r="F28" s="6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">
      <c r="A29" s="6"/>
      <c r="B29" s="6"/>
      <c r="C29" s="7"/>
      <c r="D29" s="10"/>
      <c r="E29" s="9"/>
      <c r="F29" s="6"/>
      <c r="G29" s="6"/>
      <c r="H29" s="6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">
      <c r="A30" s="6"/>
      <c r="B30" s="6"/>
      <c r="C30" s="7"/>
      <c r="D30" s="10"/>
      <c r="E30" s="9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">
      <c r="A31" s="6"/>
      <c r="B31" s="6"/>
      <c r="C31" s="7"/>
      <c r="D31" s="10"/>
      <c r="E31" s="9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">
      <c r="A32" s="6"/>
      <c r="B32" s="6"/>
      <c r="C32" s="7"/>
      <c r="D32" s="10"/>
      <c r="E32" s="9"/>
      <c r="F32" s="6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</row>
    <row r="33" spans="1:49" x14ac:dyDescent="0.2">
      <c r="A33" s="6"/>
      <c r="B33" s="6"/>
      <c r="C33" s="7"/>
      <c r="D33" s="10"/>
      <c r="E33" s="9"/>
      <c r="F33" s="6"/>
      <c r="G33" s="6"/>
      <c r="H33" s="6"/>
      <c r="I33" s="5"/>
      <c r="J33" s="5"/>
      <c r="K33" s="5"/>
      <c r="L33" s="5"/>
      <c r="M33" s="5"/>
      <c r="N33" s="5"/>
      <c r="O33" s="5"/>
      <c r="P33" s="5"/>
      <c r="Q33" s="5"/>
    </row>
    <row r="34" spans="1:49" x14ac:dyDescent="0.2">
      <c r="A34" s="6"/>
      <c r="B34" s="6"/>
      <c r="C34" s="7"/>
      <c r="D34" s="10"/>
      <c r="E34" s="9"/>
      <c r="F34" s="6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</row>
    <row r="35" spans="1:49" x14ac:dyDescent="0.2">
      <c r="A35" s="6"/>
      <c r="B35" s="6"/>
      <c r="C35" s="7"/>
      <c r="D35" s="10"/>
      <c r="E35" s="9"/>
      <c r="F35" s="6"/>
      <c r="G35" s="6"/>
      <c r="H35" s="6"/>
      <c r="I35" s="5"/>
      <c r="J35" s="5"/>
      <c r="K35" s="5"/>
      <c r="L35" s="5"/>
      <c r="M35" s="5"/>
      <c r="N35" s="5"/>
      <c r="O35" s="5"/>
      <c r="P35" s="5"/>
      <c r="Q35" s="5"/>
    </row>
    <row r="36" spans="1:49" x14ac:dyDescent="0.2">
      <c r="A36" s="6"/>
      <c r="B36" s="6"/>
      <c r="C36" s="7"/>
      <c r="D36" s="10"/>
      <c r="E36" s="9"/>
      <c r="F36" s="6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</row>
    <row r="37" spans="1:49" x14ac:dyDescent="0.2">
      <c r="A37" s="6"/>
      <c r="B37" s="6"/>
      <c r="C37" s="7"/>
      <c r="D37" s="10"/>
      <c r="E37" s="9"/>
      <c r="F37" s="6"/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</row>
    <row r="38" spans="1:49" x14ac:dyDescent="0.2">
      <c r="D38" s="7"/>
      <c r="E38" s="9"/>
      <c r="F38" s="6"/>
      <c r="G38" s="6"/>
      <c r="H38" s="6"/>
      <c r="I38" s="5"/>
      <c r="J38" s="5"/>
      <c r="N38" s="5"/>
      <c r="O38" s="5"/>
      <c r="P38" s="5"/>
      <c r="Q38" s="5"/>
    </row>
    <row r="39" spans="1:49" x14ac:dyDescent="0.2">
      <c r="A39" s="53" t="str">
        <f>Foglio2!A57</f>
        <v>CERTIFICAZIONE NR:</v>
      </c>
      <c r="B39" s="49"/>
      <c r="C39" s="50"/>
      <c r="D39" s="45"/>
      <c r="E39" s="44"/>
      <c r="F39" s="45"/>
      <c r="G39" s="45"/>
      <c r="H39" s="45"/>
      <c r="I39" s="232" t="str">
        <f>Foglio2!E57</f>
        <v>22/94</v>
      </c>
      <c r="J39" s="233"/>
      <c r="K39" s="233"/>
      <c r="L39" s="233"/>
      <c r="M39" s="233"/>
      <c r="S39" s="44"/>
      <c r="T39" s="44"/>
      <c r="U39" s="44"/>
      <c r="V39" s="44"/>
      <c r="W39" s="44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4"/>
      <c r="AN39" s="44"/>
      <c r="AO39" s="44"/>
      <c r="AP39" s="44"/>
      <c r="AQ39" s="44"/>
      <c r="AR39" s="44"/>
      <c r="AS39" s="45"/>
      <c r="AT39" s="45"/>
      <c r="AU39" s="45"/>
      <c r="AV39" s="45"/>
      <c r="AW39" s="45"/>
    </row>
    <row r="40" spans="1:49" x14ac:dyDescent="0.2">
      <c r="A40" s="53" t="str">
        <f>Foglio2!A58</f>
        <v>DATA ACCETTAZIONE:</v>
      </c>
      <c r="B40" s="49"/>
      <c r="C40" s="50"/>
      <c r="D40" s="44"/>
      <c r="E40" s="44"/>
      <c r="F40" s="45"/>
      <c r="G40" s="45"/>
      <c r="H40" s="45"/>
      <c r="I40" s="229">
        <f>Foglio2!E58</f>
        <v>46080</v>
      </c>
      <c r="J40" s="229"/>
      <c r="K40" s="229"/>
      <c r="L40" s="229"/>
      <c r="M40" s="229"/>
      <c r="S40" s="45"/>
      <c r="T40" s="45"/>
      <c r="U40" s="45"/>
      <c r="V40" s="44"/>
      <c r="W40" s="44"/>
      <c r="X40" s="44"/>
      <c r="Y40" s="44"/>
      <c r="Z40" s="44"/>
      <c r="AA40" s="45"/>
      <c r="AB40" s="44"/>
      <c r="AC40" s="45"/>
      <c r="AD40" s="44"/>
      <c r="AE40" s="45"/>
      <c r="AF40" s="46" t="str">
        <f>Foglio2!E61</f>
        <v>SPERIMENTATORE</v>
      </c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4"/>
      <c r="AR40" s="45"/>
      <c r="AS40" s="45"/>
      <c r="AT40" s="45"/>
      <c r="AU40" s="46" t="str">
        <f>Foglio2!G61</f>
        <v>DIRETTORE LABORATORIO</v>
      </c>
      <c r="AV40" s="45"/>
      <c r="AW40" s="45"/>
    </row>
    <row r="41" spans="1:49" x14ac:dyDescent="0.2">
      <c r="A41" s="53" t="str">
        <f>Foglio2!A59</f>
        <v xml:space="preserve">DATA PROVA: </v>
      </c>
      <c r="B41" s="44"/>
      <c r="C41" s="44"/>
      <c r="D41" s="44"/>
      <c r="E41" s="44"/>
      <c r="F41" s="45"/>
      <c r="G41" s="45"/>
      <c r="H41" s="45"/>
      <c r="I41" s="229">
        <f>Foglio2!E59</f>
        <v>46085</v>
      </c>
      <c r="J41" s="229"/>
      <c r="K41" s="229"/>
      <c r="L41" s="229"/>
      <c r="M41" s="229"/>
      <c r="S41" s="45"/>
      <c r="T41" s="45"/>
      <c r="U41" s="45"/>
      <c r="V41" s="45"/>
      <c r="W41" s="45"/>
      <c r="X41" s="45"/>
      <c r="Y41" s="80"/>
      <c r="Z41" s="80"/>
      <c r="AA41" s="45"/>
      <c r="AB41" s="80"/>
      <c r="AC41" s="45"/>
      <c r="AD41" s="45"/>
      <c r="AE41" s="45"/>
      <c r="AF41" s="80" t="str">
        <f>Foglio2!E62</f>
        <v>R. Mattuzzi</v>
      </c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4"/>
      <c r="AR41" s="45"/>
      <c r="AS41" s="45"/>
      <c r="AT41" s="45"/>
      <c r="AU41" s="80" t="str">
        <f>Foglio2!G62</f>
        <v>dr. F. Shams</v>
      </c>
      <c r="AV41" s="45"/>
      <c r="AW41" s="45"/>
    </row>
    <row r="42" spans="1:49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5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4"/>
      <c r="AN42" s="44"/>
      <c r="AO42" s="44"/>
      <c r="AP42" s="44"/>
      <c r="AQ42" s="44"/>
      <c r="AR42" s="44"/>
      <c r="AS42" s="45"/>
      <c r="AT42" s="45"/>
      <c r="AU42" s="45"/>
      <c r="AV42" s="45"/>
      <c r="AW42" s="45"/>
    </row>
    <row r="43" spans="1:49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4"/>
      <c r="S43" s="44"/>
      <c r="T43" s="44"/>
      <c r="U43" s="44"/>
      <c r="V43" s="44"/>
      <c r="W43" s="44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4"/>
      <c r="AN43" s="44"/>
      <c r="AO43" s="44"/>
      <c r="AP43" s="44"/>
      <c r="AQ43" s="44"/>
      <c r="AR43" s="44"/>
      <c r="AS43" s="45"/>
      <c r="AT43" s="45"/>
      <c r="AU43" s="45"/>
      <c r="AV43" s="45"/>
      <c r="AW43" s="45"/>
    </row>
    <row r="44" spans="1:49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4"/>
      <c r="S44" s="44"/>
      <c r="T44" s="44"/>
      <c r="U44" s="44"/>
      <c r="V44" s="44"/>
      <c r="W44" s="44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4"/>
      <c r="AN44" s="44"/>
      <c r="AO44" s="44"/>
      <c r="AP44" s="44"/>
      <c r="AQ44" s="44"/>
      <c r="AR44" s="44"/>
      <c r="AS44" s="45"/>
      <c r="AT44" s="45"/>
      <c r="AU44" s="45"/>
      <c r="AV44" s="45"/>
      <c r="AW44" s="45"/>
    </row>
    <row r="45" spans="1:49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4"/>
      <c r="S45" s="44"/>
      <c r="T45" s="44"/>
      <c r="U45" s="44"/>
      <c r="V45" s="44"/>
      <c r="W45" s="44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4"/>
      <c r="AN45" s="44"/>
      <c r="AO45" s="44"/>
      <c r="AP45" s="44"/>
      <c r="AQ45" s="44"/>
      <c r="AR45" s="44"/>
      <c r="AS45" s="45"/>
      <c r="AT45" s="45"/>
      <c r="AU45" s="45"/>
      <c r="AV45" s="45"/>
      <c r="AW45" s="45"/>
    </row>
    <row r="46" spans="1:49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49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49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</sheetData>
  <sheetProtection selectLockedCells="1" selectUnlockedCells="1"/>
  <mergeCells count="31">
    <mergeCell ref="A2:R2"/>
    <mergeCell ref="G10:T10"/>
    <mergeCell ref="AP1:AY2"/>
    <mergeCell ref="AW10:AZ10"/>
    <mergeCell ref="A5:J5"/>
    <mergeCell ref="A9:K9"/>
    <mergeCell ref="G11:J11"/>
    <mergeCell ref="A10:F10"/>
    <mergeCell ref="AN11:AR11"/>
    <mergeCell ref="K11:O11"/>
    <mergeCell ref="P11:T11"/>
    <mergeCell ref="AJ11:AM11"/>
    <mergeCell ref="Z11:AD11"/>
    <mergeCell ref="U11:Y11"/>
    <mergeCell ref="AE11:AI11"/>
    <mergeCell ref="U10:AI10"/>
    <mergeCell ref="AJ10:AV10"/>
    <mergeCell ref="AS11:AV11"/>
    <mergeCell ref="I41:M41"/>
    <mergeCell ref="I40:M40"/>
    <mergeCell ref="T12:U12"/>
    <mergeCell ref="I39:M39"/>
    <mergeCell ref="Y12:Z12"/>
    <mergeCell ref="F12:G12"/>
    <mergeCell ref="J12:K12"/>
    <mergeCell ref="O12:P12"/>
    <mergeCell ref="AR12:AS12"/>
    <mergeCell ref="AV12:AW12"/>
    <mergeCell ref="AM12:AN12"/>
    <mergeCell ref="AI12:AJ12"/>
    <mergeCell ref="AD12:AE12"/>
  </mergeCells>
  <phoneticPr fontId="0" type="noConversion"/>
  <printOptions horizontalCentered="1"/>
  <pageMargins left="0.23622047244094491" right="0.39370078740157483" top="0.35433070866141736" bottom="0.15748031496062992" header="0.15748031496062992" footer="0"/>
  <pageSetup paperSize="9" orientation="landscape" r:id="rId1"/>
  <headerFooter>
    <oddHeader>&amp;C&amp;"Arial,Normale"Concessione Ministeriale n. 8013, prove geotecniche (settore a), Circolare 7618/STC anno 2010.
Sistema di gestione ISO 9001/2015 n.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showGridLines="0" tabSelected="1" topLeftCell="A2" zoomScaleNormal="100" workbookViewId="0">
      <selection activeCell="D9" sqref="D9:H9"/>
    </sheetView>
  </sheetViews>
  <sheetFormatPr defaultRowHeight="12.75" x14ac:dyDescent="0.2"/>
  <cols>
    <col min="1" max="1" width="14.5703125" style="3" customWidth="1"/>
    <col min="2" max="2" width="4.7109375" style="1" customWidth="1"/>
    <col min="3" max="3" width="10.7109375" style="1" customWidth="1"/>
    <col min="4" max="4" width="16.42578125" style="2" customWidth="1"/>
    <col min="5" max="5" width="14" style="2" customWidth="1"/>
    <col min="6" max="6" width="15.140625" style="4" customWidth="1"/>
    <col min="7" max="7" width="14.7109375" style="1" customWidth="1"/>
    <col min="8" max="8" width="5.140625" style="1" customWidth="1"/>
  </cols>
  <sheetData>
    <row r="1" spans="1:12" ht="12.95" customHeight="1" x14ac:dyDescent="0.2">
      <c r="A1" s="23" t="s">
        <v>64</v>
      </c>
    </row>
    <row r="2" spans="1:12" ht="18.75" customHeight="1" x14ac:dyDescent="0.3">
      <c r="A2" s="245" t="s">
        <v>141</v>
      </c>
      <c r="B2" s="246"/>
      <c r="C2" s="246"/>
      <c r="D2" s="246"/>
      <c r="G2" s="22" t="s">
        <v>55</v>
      </c>
    </row>
    <row r="3" spans="1:12" ht="12" customHeight="1" x14ac:dyDescent="0.2">
      <c r="A3" s="32"/>
      <c r="B3"/>
      <c r="C3"/>
      <c r="D3"/>
      <c r="F3" s="5"/>
      <c r="H3" s="41" t="s">
        <v>65</v>
      </c>
    </row>
    <row r="4" spans="1:12" ht="12" customHeight="1" x14ac:dyDescent="0.2">
      <c r="A4" s="32"/>
      <c r="B4"/>
      <c r="C4"/>
      <c r="D4"/>
      <c r="F4" s="5"/>
      <c r="G4" s="9" t="s">
        <v>66</v>
      </c>
      <c r="H4" s="41"/>
    </row>
    <row r="5" spans="1:12" ht="12" customHeight="1" x14ac:dyDescent="0.2">
      <c r="A5" s="48" t="s">
        <v>142</v>
      </c>
      <c r="B5" s="49"/>
      <c r="C5" s="49"/>
      <c r="D5" s="50"/>
      <c r="E5" s="7"/>
      <c r="F5" s="42"/>
      <c r="H5" s="43"/>
      <c r="L5" s="206"/>
    </row>
    <row r="6" spans="1:12" ht="18" x14ac:dyDescent="0.2">
      <c r="A6" s="48" t="s">
        <v>62</v>
      </c>
      <c r="B6" s="48"/>
      <c r="C6" s="51"/>
      <c r="D6" s="52"/>
      <c r="E6" s="11"/>
      <c r="H6" s="5"/>
    </row>
    <row r="7" spans="1:12" ht="15" x14ac:dyDescent="0.2">
      <c r="A7" s="53" t="s">
        <v>36</v>
      </c>
      <c r="B7" s="54"/>
      <c r="C7" s="49"/>
      <c r="D7" s="50"/>
      <c r="E7" s="7"/>
      <c r="H7"/>
      <c r="L7" s="206"/>
    </row>
    <row r="8" spans="1:12" ht="8.25" customHeight="1" x14ac:dyDescent="0.2">
      <c r="A8" s="53"/>
      <c r="B8" s="54"/>
      <c r="C8" s="49"/>
      <c r="D8" s="50"/>
      <c r="E8" s="7"/>
      <c r="H8"/>
      <c r="L8" s="206"/>
    </row>
    <row r="9" spans="1:12" ht="15.95" customHeight="1" x14ac:dyDescent="0.2">
      <c r="A9" s="55" t="s">
        <v>143</v>
      </c>
      <c r="B9" s="55"/>
      <c r="C9" s="56"/>
      <c r="D9" s="221" t="s">
        <v>157</v>
      </c>
      <c r="E9"/>
      <c r="F9" s="174"/>
      <c r="G9" s="174"/>
      <c r="H9" s="174"/>
    </row>
    <row r="10" spans="1:12" ht="15.95" customHeight="1" x14ac:dyDescent="0.2">
      <c r="A10" s="33" t="s">
        <v>144</v>
      </c>
      <c r="B10" s="55"/>
      <c r="C10" s="56"/>
      <c r="D10" s="37" t="s">
        <v>156</v>
      </c>
      <c r="E10" s="164"/>
      <c r="F10" s="261"/>
      <c r="G10" s="260"/>
      <c r="H10" s="260"/>
    </row>
    <row r="11" spans="1:12" ht="15.95" customHeight="1" x14ac:dyDescent="0.2">
      <c r="A11" s="33" t="s">
        <v>145</v>
      </c>
      <c r="B11" s="55"/>
      <c r="C11" s="56"/>
      <c r="D11" s="221" t="s">
        <v>146</v>
      </c>
      <c r="E11"/>
      <c r="F11" s="261"/>
      <c r="G11" s="260"/>
      <c r="H11" s="260"/>
    </row>
    <row r="12" spans="1:12" s="214" customFormat="1" ht="15.95" customHeight="1" x14ac:dyDescent="0.2">
      <c r="A12" s="215" t="s">
        <v>147</v>
      </c>
      <c r="B12" s="216"/>
      <c r="C12" s="217"/>
      <c r="D12" s="190" t="s">
        <v>148</v>
      </c>
      <c r="F12" s="218"/>
      <c r="G12" s="219"/>
      <c r="H12" s="220"/>
    </row>
    <row r="13" spans="1:12" ht="15.95" customHeight="1" x14ac:dyDescent="0.2">
      <c r="A13" s="33" t="s">
        <v>149</v>
      </c>
      <c r="B13" s="49"/>
      <c r="C13" s="49"/>
      <c r="D13" s="190" t="s">
        <v>138</v>
      </c>
      <c r="E13" s="193"/>
      <c r="F13" s="5"/>
      <c r="G13" s="9"/>
      <c r="H13" s="165"/>
    </row>
    <row r="14" spans="1:12" ht="15.95" customHeight="1" x14ac:dyDescent="0.2">
      <c r="A14" s="54" t="s">
        <v>150</v>
      </c>
      <c r="B14" s="55"/>
      <c r="C14" s="56"/>
      <c r="D14" s="190" t="s">
        <v>153</v>
      </c>
      <c r="E14" s="193"/>
      <c r="F14" s="9"/>
      <c r="G14" s="9"/>
      <c r="H14" s="165"/>
    </row>
    <row r="15" spans="1:12" ht="15.95" customHeight="1" x14ac:dyDescent="0.2">
      <c r="A15" s="33" t="s">
        <v>151</v>
      </c>
      <c r="B15" s="54"/>
      <c r="C15" s="56"/>
      <c r="D15" s="187" t="s">
        <v>138</v>
      </c>
      <c r="E15" s="193"/>
      <c r="F15" s="9"/>
      <c r="G15" s="5"/>
      <c r="H15" s="166"/>
    </row>
    <row r="16" spans="1:12" ht="15.95" customHeight="1" x14ac:dyDescent="0.2">
      <c r="A16" s="33" t="s">
        <v>152</v>
      </c>
      <c r="B16" s="49"/>
      <c r="C16" s="49"/>
      <c r="D16" s="194" t="s">
        <v>154</v>
      </c>
      <c r="E16" s="195"/>
      <c r="F16" s="194"/>
      <c r="G16" s="171"/>
      <c r="H16" s="171"/>
    </row>
    <row r="17" spans="1:10" x14ac:dyDescent="0.2">
      <c r="A17" s="12"/>
      <c r="B17" s="6"/>
      <c r="C17" s="52"/>
      <c r="D17" s="52"/>
      <c r="E17" s="52"/>
      <c r="F17" s="52"/>
      <c r="G17" s="171"/>
      <c r="H17" s="171"/>
    </row>
    <row r="18" spans="1:10" x14ac:dyDescent="0.2">
      <c r="A18" s="57" t="s">
        <v>80</v>
      </c>
      <c r="B18" s="57"/>
      <c r="C18" s="58"/>
      <c r="D18" s="59"/>
      <c r="E18" s="59"/>
      <c r="F18" s="59"/>
      <c r="G18" s="59"/>
      <c r="H18" s="35"/>
    </row>
    <row r="19" spans="1:10" ht="24.75" customHeight="1" x14ac:dyDescent="0.2">
      <c r="A19" s="36" t="s">
        <v>81</v>
      </c>
      <c r="B19" s="264" t="s">
        <v>82</v>
      </c>
      <c r="C19" s="265"/>
      <c r="D19" s="185" t="s">
        <v>83</v>
      </c>
      <c r="E19" s="39" t="s">
        <v>84</v>
      </c>
      <c r="F19" s="40" t="s">
        <v>85</v>
      </c>
      <c r="G19" s="60"/>
      <c r="H19" s="17"/>
    </row>
    <row r="20" spans="1:10" ht="12" customHeight="1" x14ac:dyDescent="0.2">
      <c r="A20" s="61" t="s">
        <v>50</v>
      </c>
      <c r="B20" s="256">
        <v>90</v>
      </c>
      <c r="C20" s="257"/>
      <c r="D20" s="184"/>
      <c r="E20" s="63"/>
      <c r="F20" s="63"/>
      <c r="G20" s="65"/>
      <c r="H20" s="17"/>
    </row>
    <row r="21" spans="1:10" ht="12" customHeight="1" x14ac:dyDescent="0.2">
      <c r="A21" s="61" t="s">
        <v>26</v>
      </c>
      <c r="B21" s="256">
        <v>63</v>
      </c>
      <c r="C21" s="257"/>
      <c r="D21" s="184"/>
      <c r="E21" s="63"/>
      <c r="F21" s="63"/>
      <c r="G21" s="65"/>
      <c r="H21" s="17"/>
    </row>
    <row r="22" spans="1:10" ht="12" customHeight="1" x14ac:dyDescent="0.2">
      <c r="A22" s="61" t="s">
        <v>51</v>
      </c>
      <c r="B22" s="256">
        <v>56</v>
      </c>
      <c r="C22" s="257"/>
      <c r="D22" s="184"/>
      <c r="E22" s="63"/>
      <c r="F22" s="63"/>
      <c r="G22" s="65"/>
      <c r="H22" s="17"/>
    </row>
    <row r="23" spans="1:10" ht="12" customHeight="1" x14ac:dyDescent="0.2">
      <c r="A23" s="61" t="s">
        <v>52</v>
      </c>
      <c r="B23" s="256">
        <v>45</v>
      </c>
      <c r="C23" s="257"/>
      <c r="D23" s="184"/>
      <c r="E23" s="63"/>
      <c r="F23" s="63"/>
      <c r="G23" s="65"/>
      <c r="H23" s="17"/>
    </row>
    <row r="24" spans="1:10" ht="12" customHeight="1" x14ac:dyDescent="0.2">
      <c r="A24" s="62" t="s">
        <v>38</v>
      </c>
      <c r="B24" s="256">
        <v>31.5</v>
      </c>
      <c r="C24" s="257"/>
      <c r="D24" s="184">
        <v>0</v>
      </c>
      <c r="E24" s="63">
        <f>IF(D24="","",SUM($D$20:D24)/$D$38*100)</f>
        <v>0</v>
      </c>
      <c r="F24" s="63">
        <f t="shared" ref="F24:F27" si="0">IF(D24="",F23,100-$E24)</f>
        <v>100</v>
      </c>
      <c r="G24" s="65"/>
      <c r="H24" s="17"/>
    </row>
    <row r="25" spans="1:10" ht="12" customHeight="1" x14ac:dyDescent="0.2">
      <c r="A25" s="62" t="s">
        <v>53</v>
      </c>
      <c r="B25" s="256">
        <v>22.4</v>
      </c>
      <c r="C25" s="257"/>
      <c r="D25" s="47">
        <v>116.6</v>
      </c>
      <c r="E25" s="63">
        <f>IF(D25="","",SUM($D$20:D25)/$D$38*100)</f>
        <v>2.4173974160358851</v>
      </c>
      <c r="F25" s="63">
        <f t="shared" si="0"/>
        <v>97.582602583964118</v>
      </c>
      <c r="G25" s="65"/>
      <c r="H25" s="17"/>
    </row>
    <row r="26" spans="1:10" ht="12" customHeight="1" x14ac:dyDescent="0.2">
      <c r="A26" s="62" t="s">
        <v>27</v>
      </c>
      <c r="B26" s="256">
        <v>16</v>
      </c>
      <c r="C26" s="257"/>
      <c r="D26" s="47">
        <v>117.2</v>
      </c>
      <c r="E26" s="63">
        <f>IF(D26="","",SUM($D$20:D26)/$D$38*100)</f>
        <v>4.8472342698901372</v>
      </c>
      <c r="F26" s="63">
        <f t="shared" si="0"/>
        <v>95.152765730109863</v>
      </c>
      <c r="G26" s="65"/>
      <c r="H26" s="17"/>
    </row>
    <row r="27" spans="1:10" ht="12" customHeight="1" x14ac:dyDescent="0.2">
      <c r="A27" s="62" t="s">
        <v>49</v>
      </c>
      <c r="B27" s="256">
        <v>11.2</v>
      </c>
      <c r="C27" s="257"/>
      <c r="D27" s="47">
        <v>139.4</v>
      </c>
      <c r="E27" s="63">
        <f>IF(D27="","",SUM($D$20:D27)/$D$38*100)</f>
        <v>7.7373303230239499</v>
      </c>
      <c r="F27" s="63">
        <f t="shared" si="0"/>
        <v>92.262669676976046</v>
      </c>
      <c r="G27" s="65"/>
      <c r="H27" s="17"/>
    </row>
    <row r="28" spans="1:10" ht="12" customHeight="1" x14ac:dyDescent="0.2">
      <c r="A28" s="62" t="s">
        <v>37</v>
      </c>
      <c r="B28" s="256">
        <v>8</v>
      </c>
      <c r="C28" s="257"/>
      <c r="D28" s="47">
        <v>106.4</v>
      </c>
      <c r="E28" s="63">
        <f>IF(D28="","",SUM($D$20:D28)/$D$38*100)</f>
        <v>9.9432572961476033</v>
      </c>
      <c r="F28" s="63">
        <f t="shared" ref="F28:F29" si="1">IF(D28="",F27,100-$E28)</f>
        <v>90.056742703852393</v>
      </c>
      <c r="G28" s="65"/>
      <c r="H28" s="17"/>
    </row>
    <row r="29" spans="1:10" ht="12" customHeight="1" x14ac:dyDescent="0.2">
      <c r="A29" s="47">
        <v>3.5</v>
      </c>
      <c r="B29" s="256">
        <v>5.6</v>
      </c>
      <c r="C29" s="257"/>
      <c r="D29" s="47">
        <f>Foglio4!D21</f>
        <v>91.439327384467717</v>
      </c>
      <c r="E29" s="63">
        <f>IF(D29="","",SUM($D$20:D29)/$D$38*100)</f>
        <v>11.839013674734838</v>
      </c>
      <c r="F29" s="63">
        <f t="shared" si="1"/>
        <v>88.160986325265156</v>
      </c>
      <c r="G29" s="65"/>
      <c r="H29" s="17"/>
    </row>
    <row r="30" spans="1:10" ht="12" customHeight="1" x14ac:dyDescent="0.2">
      <c r="A30" s="66">
        <v>5</v>
      </c>
      <c r="B30" s="256">
        <v>4</v>
      </c>
      <c r="C30" s="257"/>
      <c r="D30" s="47">
        <f>Foglio4!D22</f>
        <v>54.542756685471971</v>
      </c>
      <c r="E30" s="63">
        <f>IF(D30="","",SUM($D$20:D30)/$D$38*100)</f>
        <v>12.969815725120206</v>
      </c>
      <c r="F30" s="63">
        <f>IF(D30="",F29,100-$E30)</f>
        <v>87.030184274879787</v>
      </c>
      <c r="G30" s="65"/>
      <c r="H30" s="17"/>
    </row>
    <row r="31" spans="1:10" ht="12" customHeight="1" x14ac:dyDescent="0.2">
      <c r="A31" s="66">
        <v>10</v>
      </c>
      <c r="B31" s="256">
        <v>2</v>
      </c>
      <c r="C31" s="257"/>
      <c r="D31" s="47">
        <f>Foglio4!D23</f>
        <v>212.55633120073637</v>
      </c>
      <c r="E31" s="63">
        <f>IF(D31="","",SUM($D$20:D31)/$D$38*100)</f>
        <v>17.376617833239656</v>
      </c>
      <c r="F31" s="63">
        <f t="shared" ref="F31:F36" si="2">IF(D31="",F30,100-$E31)</f>
        <v>82.623382166760337</v>
      </c>
      <c r="G31" s="65"/>
      <c r="H31" s="17"/>
      <c r="J31" s="188"/>
    </row>
    <row r="32" spans="1:10" ht="12" customHeight="1" x14ac:dyDescent="0.2">
      <c r="A32" s="66">
        <v>18</v>
      </c>
      <c r="B32" s="256">
        <v>1</v>
      </c>
      <c r="C32" s="257"/>
      <c r="D32" s="47">
        <f>Foglio4!D24</f>
        <v>333.673335017005</v>
      </c>
      <c r="E32" s="63">
        <f>IF(D32="","",SUM($D$20:D32)/$D$38*100)</f>
        <v>24.294465670891327</v>
      </c>
      <c r="F32" s="63">
        <f t="shared" si="2"/>
        <v>75.705534329108673</v>
      </c>
      <c r="G32" s="65"/>
      <c r="H32" s="17"/>
    </row>
    <row r="33" spans="1:10" ht="12" customHeight="1" x14ac:dyDescent="0.2">
      <c r="A33" s="66">
        <v>35</v>
      </c>
      <c r="B33" s="256">
        <v>0.5</v>
      </c>
      <c r="C33" s="257"/>
      <c r="D33" s="47">
        <f>Foglio4!D25</f>
        <v>467.62392864161995</v>
      </c>
      <c r="E33" s="63">
        <f>IF(D33="","",SUM($D$20:D33)/$D$38*100)</f>
        <v>33.989430308754116</v>
      </c>
      <c r="F33" s="63">
        <f t="shared" si="2"/>
        <v>66.010569691245877</v>
      </c>
      <c r="G33" s="65"/>
      <c r="H33" s="17"/>
    </row>
    <row r="34" spans="1:10" ht="12" customHeight="1" x14ac:dyDescent="0.2">
      <c r="A34" s="66">
        <v>60</v>
      </c>
      <c r="B34" s="256">
        <v>0.25</v>
      </c>
      <c r="C34" s="257"/>
      <c r="D34" s="47">
        <f>Foglio4!D26</f>
        <v>514.94779105989721</v>
      </c>
      <c r="E34" s="63">
        <f>IF(D34="","",SUM($D$20:D34)/$D$38*100)</f>
        <v>44.665532019745385</v>
      </c>
      <c r="F34" s="63">
        <f t="shared" si="2"/>
        <v>55.334467980254615</v>
      </c>
      <c r="G34" s="65"/>
      <c r="H34" s="6"/>
    </row>
    <row r="35" spans="1:10" ht="12" customHeight="1" x14ac:dyDescent="0.2">
      <c r="A35" s="66">
        <v>120</v>
      </c>
      <c r="B35" s="256">
        <v>0.125</v>
      </c>
      <c r="C35" s="257"/>
      <c r="D35" s="47">
        <f>Foglio4!D27</f>
        <v>478.05122036090143</v>
      </c>
      <c r="E35" s="63">
        <f>IF(D35="","",SUM($D$20:D35)/$D$38*100)</f>
        <v>54.576679402534786</v>
      </c>
      <c r="F35" s="63">
        <f t="shared" si="2"/>
        <v>45.423320597465214</v>
      </c>
      <c r="G35" s="65"/>
      <c r="H35" s="18"/>
      <c r="J35" s="188"/>
    </row>
    <row r="36" spans="1:10" ht="12" customHeight="1" x14ac:dyDescent="0.2">
      <c r="A36" s="66">
        <v>230</v>
      </c>
      <c r="B36" s="256">
        <v>6.3E-2</v>
      </c>
      <c r="C36" s="257"/>
      <c r="D36" s="47">
        <f>Foglio4!D28</f>
        <v>439.55045093586233</v>
      </c>
      <c r="E36" s="63">
        <f>IF(D36="","",SUM($D$20:D36)/$D$38*100)</f>
        <v>63.68961357328746</v>
      </c>
      <c r="F36" s="64">
        <f t="shared" si="2"/>
        <v>36.31038642671254</v>
      </c>
      <c r="G36" s="65"/>
      <c r="H36" s="18"/>
    </row>
    <row r="37" spans="1:10" x14ac:dyDescent="0.2">
      <c r="A37" s="62"/>
      <c r="B37" s="268" t="s">
        <v>22</v>
      </c>
      <c r="C37" s="269"/>
      <c r="D37" s="126">
        <f>D38-SUM(D20:D36)</f>
        <v>1751.3839591577657</v>
      </c>
      <c r="E37" s="127"/>
      <c r="F37" s="128">
        <f>D37/D38*100</f>
        <v>36.310386426712533</v>
      </c>
      <c r="G37" s="65"/>
      <c r="H37" s="13"/>
    </row>
    <row r="38" spans="1:10" x14ac:dyDescent="0.2">
      <c r="A38" s="67"/>
      <c r="B38" s="68"/>
      <c r="C38" s="69"/>
      <c r="D38" s="129">
        <f>Foglio4!H13</f>
        <v>4823.3691004437278</v>
      </c>
      <c r="E38" s="130" t="s">
        <v>58</v>
      </c>
      <c r="F38" s="131"/>
      <c r="G38" s="65"/>
      <c r="H38" s="13"/>
    </row>
    <row r="39" spans="1:10" x14ac:dyDescent="0.2">
      <c r="A39" s="70" t="s">
        <v>86</v>
      </c>
      <c r="B39" s="254">
        <f>E21</f>
        <v>0</v>
      </c>
      <c r="C39" s="255"/>
      <c r="D39" s="71" t="s">
        <v>20</v>
      </c>
      <c r="E39" s="72" t="s">
        <v>24</v>
      </c>
      <c r="F39" s="173">
        <v>7.0000000000000001E-3</v>
      </c>
      <c r="G39" s="53"/>
      <c r="H39" s="13"/>
    </row>
    <row r="40" spans="1:10" x14ac:dyDescent="0.2">
      <c r="A40" s="70" t="s">
        <v>87</v>
      </c>
      <c r="B40" s="258">
        <f>E31-B39</f>
        <v>17.376617833239656</v>
      </c>
      <c r="C40" s="259"/>
      <c r="D40" s="71" t="s">
        <v>20</v>
      </c>
      <c r="E40" s="72" t="s">
        <v>59</v>
      </c>
      <c r="F40" s="173">
        <v>4.1000000000000002E-2</v>
      </c>
      <c r="G40" s="49"/>
      <c r="H40" s="6"/>
    </row>
    <row r="41" spans="1:10" x14ac:dyDescent="0.2">
      <c r="A41" s="70" t="s">
        <v>88</v>
      </c>
      <c r="B41" s="254">
        <f>E36-E31</f>
        <v>46.312995740047803</v>
      </c>
      <c r="C41" s="259"/>
      <c r="D41" s="71" t="s">
        <v>20</v>
      </c>
      <c r="E41" s="72" t="s">
        <v>25</v>
      </c>
      <c r="F41" s="173">
        <v>0.34</v>
      </c>
      <c r="G41" s="49"/>
      <c r="H41" s="6"/>
    </row>
    <row r="42" spans="1:10" x14ac:dyDescent="0.2">
      <c r="A42" s="73" t="s">
        <v>89</v>
      </c>
      <c r="B42" s="254">
        <f>F37-B43</f>
        <v>32.329121145262093</v>
      </c>
      <c r="C42" s="259"/>
      <c r="D42" s="71" t="s">
        <v>20</v>
      </c>
      <c r="E42" s="72" t="s">
        <v>68</v>
      </c>
      <c r="F42" s="169">
        <f>F41/F39</f>
        <v>48.571428571428577</v>
      </c>
      <c r="G42" s="49"/>
      <c r="H42" s="6"/>
    </row>
    <row r="43" spans="1:10" x14ac:dyDescent="0.2">
      <c r="A43" s="70" t="s">
        <v>90</v>
      </c>
      <c r="B43" s="254">
        <f>Foglio3!C29</f>
        <v>3.9812652814504412</v>
      </c>
      <c r="C43" s="259"/>
      <c r="D43" s="71" t="s">
        <v>20</v>
      </c>
      <c r="E43" s="72" t="s">
        <v>67</v>
      </c>
      <c r="F43" s="169">
        <f>POWER(F40,2)/(F41*F39)</f>
        <v>0.70630252100840341</v>
      </c>
      <c r="G43" s="49"/>
      <c r="H43" s="6"/>
    </row>
    <row r="44" spans="1:10" x14ac:dyDescent="0.2">
      <c r="A44" s="53" t="s">
        <v>91</v>
      </c>
      <c r="B44" s="53"/>
      <c r="C44" s="49"/>
      <c r="D44" s="50"/>
      <c r="E44" s="50"/>
      <c r="F44" s="46"/>
      <c r="G44" s="49"/>
      <c r="H44" s="6"/>
    </row>
    <row r="45" spans="1:10" x14ac:dyDescent="0.2">
      <c r="A45" s="74" t="s">
        <v>6</v>
      </c>
      <c r="B45" s="266" t="s">
        <v>39</v>
      </c>
      <c r="C45" s="267"/>
      <c r="D45" s="74" t="s">
        <v>41</v>
      </c>
      <c r="E45" s="74" t="s">
        <v>42</v>
      </c>
      <c r="F45" s="46"/>
      <c r="G45" s="49"/>
      <c r="H45" s="6"/>
    </row>
    <row r="46" spans="1:10" x14ac:dyDescent="0.2">
      <c r="A46" s="75" t="s">
        <v>15</v>
      </c>
      <c r="B46" s="262" t="s">
        <v>40</v>
      </c>
      <c r="C46" s="263"/>
      <c r="D46" s="75" t="s">
        <v>19</v>
      </c>
      <c r="E46" s="75" t="s">
        <v>20</v>
      </c>
      <c r="F46" s="46"/>
      <c r="G46" s="49"/>
      <c r="H46" s="6"/>
    </row>
    <row r="47" spans="1:10" ht="12" customHeight="1" x14ac:dyDescent="0.2">
      <c r="A47" s="62">
        <v>0.5</v>
      </c>
      <c r="B47" s="258">
        <f>Foglio3!D8</f>
        <v>20.7</v>
      </c>
      <c r="C47" s="257"/>
      <c r="D47" s="76">
        <f>Foglio3!F8</f>
        <v>6.3E-2</v>
      </c>
      <c r="E47" s="63">
        <f>Foglio3!H8</f>
        <v>36.310386426712533</v>
      </c>
      <c r="F47" s="46"/>
      <c r="G47" s="49"/>
      <c r="H47" s="6"/>
    </row>
    <row r="48" spans="1:10" ht="12" customHeight="1" x14ac:dyDescent="0.2">
      <c r="A48" s="62">
        <v>1</v>
      </c>
      <c r="B48" s="258">
        <f>Foglio3!D9</f>
        <v>19.899999999999999</v>
      </c>
      <c r="C48" s="257"/>
      <c r="D48" s="76">
        <f>Foglio3!F9</f>
        <v>4.6041029013912237E-2</v>
      </c>
      <c r="E48" s="63">
        <f>Foglio3!H9</f>
        <v>31.503737563038822</v>
      </c>
      <c r="F48" s="46"/>
      <c r="G48" s="49"/>
      <c r="H48" s="6"/>
    </row>
    <row r="49" spans="1:8" ht="12" customHeight="1" x14ac:dyDescent="0.2">
      <c r="A49" s="62">
        <v>4.5</v>
      </c>
      <c r="B49" s="258">
        <f>Foglio3!D10</f>
        <v>14.399999999999999</v>
      </c>
      <c r="C49" s="257"/>
      <c r="D49" s="76">
        <f>Foglio3!F10</f>
        <v>2.2784133623923244E-2</v>
      </c>
      <c r="E49" s="63">
        <f>Foglio3!H10</f>
        <v>22.339687655344711</v>
      </c>
      <c r="F49" s="46"/>
      <c r="G49" s="49"/>
      <c r="H49" s="6"/>
    </row>
    <row r="50" spans="1:8" ht="12" customHeight="1" x14ac:dyDescent="0.2">
      <c r="A50" s="62">
        <v>14</v>
      </c>
      <c r="B50" s="258">
        <f>Foglio3!D11</f>
        <v>10.7</v>
      </c>
      <c r="C50" s="257"/>
      <c r="D50" s="76">
        <f>Foglio3!F11</f>
        <v>1.3345098061616906E-2</v>
      </c>
      <c r="E50" s="63">
        <f>Foglio3!H11</f>
        <v>16.102068783264716</v>
      </c>
      <c r="F50" s="46"/>
      <c r="G50" s="49"/>
      <c r="H50" s="6"/>
    </row>
    <row r="51" spans="1:8" ht="12" customHeight="1" x14ac:dyDescent="0.2">
      <c r="A51" s="62">
        <v>54</v>
      </c>
      <c r="B51" s="258">
        <f>Foglio3!D12</f>
        <v>7</v>
      </c>
      <c r="C51" s="257"/>
      <c r="D51" s="76">
        <f>Foglio3!F12</f>
        <v>6.966556918695418E-3</v>
      </c>
      <c r="E51" s="63">
        <f>Foglio3!H12</f>
        <v>10.046231337535522</v>
      </c>
      <c r="F51" s="46"/>
      <c r="G51" s="49"/>
      <c r="H51" s="6"/>
    </row>
    <row r="52" spans="1:8" ht="12" customHeight="1" x14ac:dyDescent="0.2">
      <c r="A52" s="66">
        <v>120</v>
      </c>
      <c r="B52" s="258">
        <f>Foglio3!D13</f>
        <v>5.3</v>
      </c>
      <c r="C52" s="257"/>
      <c r="D52" s="76">
        <f>Foglio3!F13</f>
        <v>4.7605085276129534E-3</v>
      </c>
      <c r="E52" s="63">
        <f>Foglio3!H13</f>
        <v>7.0319253942610782</v>
      </c>
      <c r="F52" s="46"/>
      <c r="G52" s="49"/>
      <c r="H52" s="6"/>
    </row>
    <row r="53" spans="1:8" ht="12" customHeight="1" x14ac:dyDescent="0.2">
      <c r="A53" s="66">
        <v>360</v>
      </c>
      <c r="B53" s="258">
        <f>Foglio3!D14</f>
        <v>4.3</v>
      </c>
      <c r="C53" s="257"/>
      <c r="D53" s="76">
        <f>Foglio3!F14</f>
        <v>2.8018067117043786E-3</v>
      </c>
      <c r="E53" s="63">
        <f>Foglio3!H14</f>
        <v>5.0021716492514487</v>
      </c>
      <c r="F53" s="46"/>
      <c r="G53" s="49"/>
      <c r="H53" s="6"/>
    </row>
    <row r="54" spans="1:8" ht="12" customHeight="1" x14ac:dyDescent="0.2">
      <c r="A54" s="66">
        <v>1440</v>
      </c>
      <c r="B54" s="258">
        <f>Foglio3!D15</f>
        <v>3.1</v>
      </c>
      <c r="C54" s="257"/>
      <c r="D54" s="76">
        <f>Foglio3!F15</f>
        <v>1.4028034217721114E-3</v>
      </c>
      <c r="E54" s="63">
        <f>Foglio3!H15</f>
        <v>3.2208802901027882</v>
      </c>
      <c r="F54" s="46"/>
      <c r="G54" s="49"/>
      <c r="H54" s="6"/>
    </row>
    <row r="55" spans="1:8" x14ac:dyDescent="0.2">
      <c r="A55" s="270"/>
      <c r="B55" s="271"/>
      <c r="C55" s="272" t="s">
        <v>56</v>
      </c>
      <c r="D55" s="273"/>
      <c r="E55" s="47">
        <f>Foglio3!H16</f>
        <v>35</v>
      </c>
      <c r="F55" s="46"/>
      <c r="G55" s="49"/>
      <c r="H55" s="6"/>
    </row>
    <row r="56" spans="1:8" ht="14.25" x14ac:dyDescent="0.2">
      <c r="A56" s="270"/>
      <c r="B56" s="271"/>
      <c r="C56" s="272" t="s">
        <v>57</v>
      </c>
      <c r="D56" s="273"/>
      <c r="E56" s="198">
        <f>Foglio3!H17</f>
        <v>2.65</v>
      </c>
      <c r="F56" s="46" t="str">
        <f>Foglio3!I17</f>
        <v>(valore stimato)</v>
      </c>
      <c r="G56" s="49"/>
      <c r="H56" s="6"/>
    </row>
    <row r="57" spans="1:8" x14ac:dyDescent="0.2">
      <c r="A57" s="23" t="s">
        <v>92</v>
      </c>
      <c r="B57" s="77"/>
      <c r="C57" s="77"/>
      <c r="D57" s="78"/>
      <c r="E57" s="168" t="s">
        <v>155</v>
      </c>
      <c r="F57" s="10"/>
      <c r="G57" s="56"/>
      <c r="H57" s="31"/>
    </row>
    <row r="58" spans="1:8" x14ac:dyDescent="0.2">
      <c r="A58" s="23" t="s">
        <v>93</v>
      </c>
      <c r="B58" s="53"/>
      <c r="C58" s="79"/>
      <c r="D58" s="78"/>
      <c r="E58" s="191">
        <v>46080</v>
      </c>
      <c r="F58" s="161"/>
      <c r="G58" s="56"/>
      <c r="H58" s="31"/>
    </row>
    <row r="59" spans="1:8" x14ac:dyDescent="0.2">
      <c r="A59" s="5" t="s">
        <v>94</v>
      </c>
      <c r="B59" s="49"/>
      <c r="C59" s="49"/>
      <c r="D59" s="44"/>
      <c r="E59" s="191">
        <v>46085</v>
      </c>
      <c r="F59" s="161"/>
      <c r="G59" s="49"/>
      <c r="H59" s="6"/>
    </row>
    <row r="60" spans="1:8" x14ac:dyDescent="0.2">
      <c r="A60" s="5"/>
      <c r="B60" s="49"/>
      <c r="C60" s="49"/>
      <c r="D60" s="44"/>
      <c r="E60" s="124"/>
      <c r="F60" s="125"/>
      <c r="G60" s="49"/>
      <c r="H60" s="6"/>
    </row>
    <row r="61" spans="1:8" x14ac:dyDescent="0.2">
      <c r="A61" s="49"/>
      <c r="B61" s="49"/>
      <c r="C61" s="49"/>
      <c r="D61" s="50"/>
      <c r="E61" s="46" t="s">
        <v>139</v>
      </c>
      <c r="F61" s="44"/>
      <c r="G61" s="46" t="s">
        <v>48</v>
      </c>
      <c r="H61" s="6"/>
    </row>
    <row r="62" spans="1:8" x14ac:dyDescent="0.2">
      <c r="A62" s="49"/>
      <c r="B62" s="49"/>
      <c r="C62" s="49"/>
      <c r="D62" s="50"/>
      <c r="E62" s="133" t="s">
        <v>140</v>
      </c>
      <c r="F62" s="80"/>
      <c r="G62" s="80" t="s">
        <v>60</v>
      </c>
      <c r="H62" s="6"/>
    </row>
    <row r="63" spans="1:8" x14ac:dyDescent="0.2">
      <c r="A63" s="1"/>
    </row>
    <row r="64" spans="1:8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</sheetData>
  <mergeCells count="41">
    <mergeCell ref="A56:B56"/>
    <mergeCell ref="C55:D55"/>
    <mergeCell ref="B47:C47"/>
    <mergeCell ref="B50:C50"/>
    <mergeCell ref="C56:D56"/>
    <mergeCell ref="B51:C51"/>
    <mergeCell ref="B52:C52"/>
    <mergeCell ref="A55:B55"/>
    <mergeCell ref="B54:C54"/>
    <mergeCell ref="B48:C48"/>
    <mergeCell ref="B49:C49"/>
    <mergeCell ref="B53:C53"/>
    <mergeCell ref="B46:C46"/>
    <mergeCell ref="A2:D2"/>
    <mergeCell ref="B27:C27"/>
    <mergeCell ref="B23:C23"/>
    <mergeCell ref="B25:C25"/>
    <mergeCell ref="B22:C22"/>
    <mergeCell ref="B19:C19"/>
    <mergeCell ref="B20:C20"/>
    <mergeCell ref="B21:C21"/>
    <mergeCell ref="B24:C24"/>
    <mergeCell ref="B26:C26"/>
    <mergeCell ref="B42:C42"/>
    <mergeCell ref="B43:C43"/>
    <mergeCell ref="B45:C45"/>
    <mergeCell ref="B37:C37"/>
    <mergeCell ref="B41:C41"/>
    <mergeCell ref="B28:C28"/>
    <mergeCell ref="B35:C35"/>
    <mergeCell ref="B36:C36"/>
    <mergeCell ref="F10:F11"/>
    <mergeCell ref="G10:H11"/>
    <mergeCell ref="B30:C30"/>
    <mergeCell ref="B31:C31"/>
    <mergeCell ref="B39:C39"/>
    <mergeCell ref="B32:C32"/>
    <mergeCell ref="B33:C33"/>
    <mergeCell ref="B40:C40"/>
    <mergeCell ref="B29:C29"/>
    <mergeCell ref="B34:C34"/>
  </mergeCells>
  <phoneticPr fontId="0" type="noConversion"/>
  <printOptions gridLinesSet="0"/>
  <pageMargins left="0.55118110236220474" right="0.11811023622047245" top="0.47244094488188981" bottom="0.19685039370078741" header="0.15748031496062992" footer="0.11811023622047245"/>
  <pageSetup paperSize="9" scale="95" orientation="portrait" r:id="rId1"/>
  <headerFooter>
    <oddHeader>&amp;C&amp;"Arial,Normale"Concessione Ministeriale n. 8013, prove geotecniche (settore a), Circolare 7618/STC anno 2010.
Sistema di gestione ISO 9001/2015 n. 9175.GEOL</oddHeader>
    <oddFooter>&amp;L&amp;"Arial,Normale"mod. 8.6.1.9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selection activeCell="P9" sqref="P9"/>
    </sheetView>
  </sheetViews>
  <sheetFormatPr defaultRowHeight="12.75" x14ac:dyDescent="0.2"/>
  <sheetData>
    <row r="1" spans="1:8" x14ac:dyDescent="0.2">
      <c r="A1" t="s">
        <v>23</v>
      </c>
    </row>
    <row r="4" spans="1:8" ht="13.5" thickBot="1" x14ac:dyDescent="0.25"/>
    <row r="5" spans="1:8" ht="12.75" customHeight="1" x14ac:dyDescent="0.2">
      <c r="A5" s="103" t="s">
        <v>6</v>
      </c>
      <c r="B5" s="104" t="s">
        <v>7</v>
      </c>
      <c r="C5" s="104" t="s">
        <v>8</v>
      </c>
      <c r="D5" s="104" t="s">
        <v>8</v>
      </c>
      <c r="E5" s="104" t="s">
        <v>9</v>
      </c>
      <c r="F5" s="104" t="s">
        <v>10</v>
      </c>
      <c r="G5" s="105" t="s">
        <v>11</v>
      </c>
      <c r="H5" s="106" t="s">
        <v>11</v>
      </c>
    </row>
    <row r="6" spans="1:8" x14ac:dyDescent="0.2">
      <c r="A6" s="107"/>
      <c r="B6" s="14" t="s">
        <v>12</v>
      </c>
      <c r="C6" s="14"/>
      <c r="D6" s="14"/>
      <c r="E6" s="14" t="s">
        <v>2</v>
      </c>
      <c r="F6" s="14" t="s">
        <v>13</v>
      </c>
      <c r="G6" s="20" t="s">
        <v>14</v>
      </c>
      <c r="H6" s="108" t="s">
        <v>69</v>
      </c>
    </row>
    <row r="7" spans="1:8" x14ac:dyDescent="0.2">
      <c r="A7" s="109" t="s">
        <v>15</v>
      </c>
      <c r="B7" s="15" t="s">
        <v>16</v>
      </c>
      <c r="C7" s="15" t="s">
        <v>17</v>
      </c>
      <c r="D7" s="15" t="s">
        <v>18</v>
      </c>
      <c r="E7" s="15"/>
      <c r="F7" s="15" t="s">
        <v>19</v>
      </c>
      <c r="G7" s="19" t="s">
        <v>20</v>
      </c>
      <c r="H7" s="110" t="s">
        <v>20</v>
      </c>
    </row>
    <row r="8" spans="1:8" x14ac:dyDescent="0.2">
      <c r="A8" s="109">
        <v>0.5</v>
      </c>
      <c r="B8" s="199">
        <v>21.7</v>
      </c>
      <c r="C8" s="199">
        <v>20.5</v>
      </c>
      <c r="D8" s="16">
        <f>C8+$C$17</f>
        <v>20.7</v>
      </c>
      <c r="E8" s="16">
        <f>$C$18+$C$19*B8</f>
        <v>2.0076399999999999</v>
      </c>
      <c r="F8" s="122">
        <v>6.3E-2</v>
      </c>
      <c r="G8" s="21">
        <v>100</v>
      </c>
      <c r="H8" s="111">
        <f>Foglio2!$F$37*G8/100</f>
        <v>36.310386426712533</v>
      </c>
    </row>
    <row r="9" spans="1:8" x14ac:dyDescent="0.2">
      <c r="A9" s="109">
        <v>1</v>
      </c>
      <c r="B9" s="199">
        <v>21.7</v>
      </c>
      <c r="C9" s="199">
        <v>19.7</v>
      </c>
      <c r="D9" s="16">
        <f t="shared" ref="D9:D15" si="0">C9+$C$17</f>
        <v>19.899999999999999</v>
      </c>
      <c r="E9" s="16">
        <f t="shared" ref="E9:E15" si="1">$C$18+$C$19*B9</f>
        <v>2.0076399999999999</v>
      </c>
      <c r="F9" s="122">
        <f t="shared" ref="F9:F15" si="2">SQRT((1800*(0.0000181/(1+(0.034*B9)+(0.00022*(B9^2)))))*($F$18*D9+$F$17)/(($H$17-1)*(A9*60)))</f>
        <v>4.6041029013912237E-2</v>
      </c>
      <c r="G9" s="21">
        <f t="shared" ref="G9:G15" si="3">(D9+E9+$C$16)*100/$H$16*$H$17/($H$17-1)</f>
        <v>86.762330735930718</v>
      </c>
      <c r="H9" s="111">
        <f>Foglio2!$F$37*G9/100</f>
        <v>31.503737563038822</v>
      </c>
    </row>
    <row r="10" spans="1:8" x14ac:dyDescent="0.2">
      <c r="A10" s="109">
        <v>4.5</v>
      </c>
      <c r="B10" s="199">
        <v>21.7</v>
      </c>
      <c r="C10" s="199">
        <v>14.2</v>
      </c>
      <c r="D10" s="16">
        <f t="shared" si="0"/>
        <v>14.399999999999999</v>
      </c>
      <c r="E10" s="16">
        <f t="shared" si="1"/>
        <v>2.0076399999999999</v>
      </c>
      <c r="F10" s="122">
        <f t="shared" si="2"/>
        <v>2.2784133623923244E-2</v>
      </c>
      <c r="G10" s="21">
        <f t="shared" si="3"/>
        <v>61.524235497835484</v>
      </c>
      <c r="H10" s="111">
        <f>Foglio2!$F$37*G10/100</f>
        <v>22.339687655344711</v>
      </c>
    </row>
    <row r="11" spans="1:8" x14ac:dyDescent="0.2">
      <c r="A11" s="109">
        <v>14</v>
      </c>
      <c r="B11" s="199">
        <v>21.5</v>
      </c>
      <c r="C11" s="199">
        <v>10.5</v>
      </c>
      <c r="D11" s="16">
        <f t="shared" si="0"/>
        <v>10.7</v>
      </c>
      <c r="E11" s="16">
        <f t="shared" si="1"/>
        <v>1.964</v>
      </c>
      <c r="F11" s="122">
        <f t="shared" si="2"/>
        <v>1.3345098061616906E-2</v>
      </c>
      <c r="G11" s="21">
        <f t="shared" si="3"/>
        <v>44.345627705627706</v>
      </c>
      <c r="H11" s="111">
        <f>Foglio2!$F$37*G11/100</f>
        <v>16.102068783264716</v>
      </c>
    </row>
    <row r="12" spans="1:8" x14ac:dyDescent="0.2">
      <c r="A12" s="109">
        <v>54</v>
      </c>
      <c r="B12" s="199">
        <v>21.8</v>
      </c>
      <c r="C12" s="199">
        <v>6.8</v>
      </c>
      <c r="D12" s="16">
        <f t="shared" si="0"/>
        <v>7</v>
      </c>
      <c r="E12" s="16">
        <f t="shared" si="1"/>
        <v>2.0294599999999998</v>
      </c>
      <c r="F12" s="122">
        <f t="shared" si="2"/>
        <v>6.966556918695418E-3</v>
      </c>
      <c r="G12" s="21">
        <f t="shared" si="3"/>
        <v>27.667651948051951</v>
      </c>
      <c r="H12" s="111">
        <f>Foglio2!$F$37*G12/100</f>
        <v>10.046231337535522</v>
      </c>
    </row>
    <row r="13" spans="1:8" x14ac:dyDescent="0.2">
      <c r="A13" s="112">
        <v>120</v>
      </c>
      <c r="B13" s="199">
        <v>21.3</v>
      </c>
      <c r="C13" s="199">
        <v>5.0999999999999996</v>
      </c>
      <c r="D13" s="16">
        <f t="shared" si="0"/>
        <v>5.3</v>
      </c>
      <c r="E13" s="16">
        <f t="shared" si="1"/>
        <v>1.9203600000000001</v>
      </c>
      <c r="F13" s="122">
        <f t="shared" si="2"/>
        <v>4.7605085276129534E-3</v>
      </c>
      <c r="G13" s="21">
        <f t="shared" si="3"/>
        <v>19.36615411255411</v>
      </c>
      <c r="H13" s="111">
        <f>Foglio2!$F$37*G13/100</f>
        <v>7.0319253942610782</v>
      </c>
    </row>
    <row r="14" spans="1:8" x14ac:dyDescent="0.2">
      <c r="A14" s="112">
        <v>360</v>
      </c>
      <c r="B14" s="199">
        <v>20.3</v>
      </c>
      <c r="C14" s="199">
        <v>4.0999999999999996</v>
      </c>
      <c r="D14" s="16">
        <f t="shared" si="0"/>
        <v>4.3</v>
      </c>
      <c r="E14" s="16">
        <f t="shared" si="1"/>
        <v>1.7021600000000006</v>
      </c>
      <c r="F14" s="122">
        <f t="shared" si="2"/>
        <v>2.8018067117043786E-3</v>
      </c>
      <c r="G14" s="21">
        <f t="shared" si="3"/>
        <v>13.776145454545455</v>
      </c>
      <c r="H14" s="111">
        <f>Foglio2!$F$37*G14/100</f>
        <v>5.0021716492514487</v>
      </c>
    </row>
    <row r="15" spans="1:8" ht="13.5" thickBot="1" x14ac:dyDescent="0.25">
      <c r="A15" s="113">
        <v>1440</v>
      </c>
      <c r="B15" s="199">
        <v>20.9</v>
      </c>
      <c r="C15" s="200">
        <v>2.9</v>
      </c>
      <c r="D15" s="88">
        <f t="shared" si="0"/>
        <v>3.1</v>
      </c>
      <c r="E15" s="88">
        <f t="shared" si="1"/>
        <v>1.8330799999999994</v>
      </c>
      <c r="F15" s="123">
        <f t="shared" si="2"/>
        <v>1.4028034217721114E-3</v>
      </c>
      <c r="G15" s="89">
        <f t="shared" si="3"/>
        <v>8.8704103896103863</v>
      </c>
      <c r="H15" s="114">
        <f>Foglio2!$F$37*G15/100</f>
        <v>3.2208802901027882</v>
      </c>
    </row>
    <row r="16" spans="1:8" ht="24.95" customHeight="1" x14ac:dyDescent="0.2">
      <c r="A16" s="92" t="s">
        <v>70</v>
      </c>
      <c r="B16" s="93" t="s">
        <v>0</v>
      </c>
      <c r="C16" s="94">
        <v>-3</v>
      </c>
      <c r="D16" s="99"/>
      <c r="E16" s="100" t="s">
        <v>5</v>
      </c>
      <c r="F16" s="101"/>
      <c r="G16" s="92" t="s">
        <v>71</v>
      </c>
      <c r="H16" s="102">
        <v>35</v>
      </c>
    </row>
    <row r="17" spans="1:9" ht="24.95" customHeight="1" thickBot="1" x14ac:dyDescent="0.25">
      <c r="A17" s="95" t="s">
        <v>72</v>
      </c>
      <c r="B17" s="90" t="s">
        <v>1</v>
      </c>
      <c r="C17" s="96">
        <v>0.2</v>
      </c>
      <c r="D17" s="280" t="s">
        <v>3</v>
      </c>
      <c r="E17" s="281"/>
      <c r="F17" s="115">
        <v>16.239000000000001</v>
      </c>
      <c r="G17" s="117" t="s">
        <v>21</v>
      </c>
      <c r="H17" s="118">
        <v>2.65</v>
      </c>
      <c r="I17" t="s">
        <v>63</v>
      </c>
    </row>
    <row r="18" spans="1:9" ht="24.95" customHeight="1" thickBot="1" x14ac:dyDescent="0.25">
      <c r="A18" s="278" t="s">
        <v>73</v>
      </c>
      <c r="B18" s="91" t="s">
        <v>74</v>
      </c>
      <c r="C18" s="96">
        <v>-2.7273000000000001</v>
      </c>
      <c r="D18" s="282" t="s">
        <v>4</v>
      </c>
      <c r="E18" s="283"/>
      <c r="F18" s="116">
        <v>-0.22</v>
      </c>
      <c r="G18" s="6"/>
      <c r="H18" s="5"/>
    </row>
    <row r="19" spans="1:9" ht="24.95" customHeight="1" thickBot="1" x14ac:dyDescent="0.25">
      <c r="A19" s="279"/>
      <c r="B19" s="97" t="s">
        <v>75</v>
      </c>
      <c r="C19" s="98">
        <v>0.21820000000000001</v>
      </c>
      <c r="D19" s="5"/>
      <c r="E19" s="5"/>
      <c r="F19" s="5"/>
      <c r="G19" s="5"/>
      <c r="H19" s="5"/>
    </row>
    <row r="21" spans="1:9" ht="12.75" customHeight="1" x14ac:dyDescent="0.2"/>
    <row r="22" spans="1:9" x14ac:dyDescent="0.2">
      <c r="A22" s="275" t="s">
        <v>77</v>
      </c>
      <c r="B22" s="276"/>
      <c r="C22" s="277"/>
    </row>
    <row r="23" spans="1:9" x14ac:dyDescent="0.2">
      <c r="A23" s="274" t="s">
        <v>78</v>
      </c>
      <c r="B23" s="238"/>
      <c r="C23" s="119">
        <f>F14-F15</f>
        <v>1.3990032899322672E-3</v>
      </c>
    </row>
    <row r="24" spans="1:9" x14ac:dyDescent="0.2">
      <c r="A24" s="274" t="s">
        <v>79</v>
      </c>
      <c r="B24" s="238"/>
      <c r="C24" s="120">
        <f>H14-H15</f>
        <v>1.7812913591486605</v>
      </c>
    </row>
    <row r="25" spans="1:9" x14ac:dyDescent="0.2">
      <c r="A25" s="274"/>
      <c r="B25" s="238"/>
      <c r="C25" s="119"/>
    </row>
    <row r="26" spans="1:9" x14ac:dyDescent="0.2">
      <c r="A26" s="274" t="s">
        <v>4</v>
      </c>
      <c r="B26" s="238"/>
      <c r="C26" s="119">
        <f>C24/C23</f>
        <v>1273.2574483330213</v>
      </c>
    </row>
    <row r="27" spans="1:9" x14ac:dyDescent="0.2">
      <c r="A27" s="274" t="s">
        <v>3</v>
      </c>
      <c r="B27" s="238"/>
      <c r="C27" s="119">
        <f>H14-(C26*F14)</f>
        <v>1.4347503847843983</v>
      </c>
    </row>
    <row r="28" spans="1:9" x14ac:dyDescent="0.2">
      <c r="A28" s="274"/>
      <c r="B28" s="238"/>
      <c r="C28" s="119"/>
    </row>
    <row r="29" spans="1:9" x14ac:dyDescent="0.2">
      <c r="A29" s="274" t="s">
        <v>76</v>
      </c>
      <c r="B29" s="238"/>
      <c r="C29" s="121">
        <f>C26*0.002+C27</f>
        <v>3.9812652814504412</v>
      </c>
    </row>
  </sheetData>
  <mergeCells count="11">
    <mergeCell ref="A18:A19"/>
    <mergeCell ref="D17:E17"/>
    <mergeCell ref="D18:E18"/>
    <mergeCell ref="A23:B23"/>
    <mergeCell ref="A24:B24"/>
    <mergeCell ref="A27:B27"/>
    <mergeCell ref="A28:B28"/>
    <mergeCell ref="A29:B29"/>
    <mergeCell ref="A25:B25"/>
    <mergeCell ref="A22:C22"/>
    <mergeCell ref="A26:B2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topLeftCell="A6" workbookViewId="0">
      <selection activeCell="M20" sqref="M20"/>
    </sheetView>
  </sheetViews>
  <sheetFormatPr defaultRowHeight="12.75" x14ac:dyDescent="0.2"/>
  <cols>
    <col min="4" max="4" width="12.140625" customWidth="1"/>
    <col min="8" max="8" width="10.140625" bestFit="1" customWidth="1"/>
  </cols>
  <sheetData>
    <row r="1" spans="1:8" ht="18" x14ac:dyDescent="0.25">
      <c r="A1" s="298"/>
      <c r="B1" s="299"/>
      <c r="C1" s="299"/>
      <c r="D1" s="299"/>
      <c r="E1" s="299"/>
      <c r="F1" s="299"/>
      <c r="G1" s="299"/>
      <c r="H1" s="299"/>
    </row>
    <row r="2" spans="1:8" ht="18" x14ac:dyDescent="0.25">
      <c r="A2" s="134"/>
      <c r="B2" s="147"/>
      <c r="C2" s="147"/>
      <c r="D2" s="147"/>
      <c r="E2" s="147"/>
      <c r="F2" s="147"/>
      <c r="G2" s="147"/>
      <c r="H2" s="147"/>
    </row>
    <row r="3" spans="1:8" ht="18" x14ac:dyDescent="0.25">
      <c r="B3" s="148"/>
    </row>
    <row r="4" spans="1:8" ht="18" x14ac:dyDescent="0.25">
      <c r="A4" s="135" t="s">
        <v>95</v>
      </c>
    </row>
    <row r="5" spans="1:8" ht="18" x14ac:dyDescent="0.25">
      <c r="A5" s="300" t="s">
        <v>96</v>
      </c>
      <c r="B5" s="248"/>
      <c r="C5" s="248"/>
      <c r="D5" s="248"/>
      <c r="E5" s="248"/>
      <c r="F5" s="248"/>
      <c r="G5" s="248"/>
      <c r="H5" s="248"/>
    </row>
    <row r="6" spans="1:8" ht="18" x14ac:dyDescent="0.25">
      <c r="A6" s="136"/>
      <c r="B6" s="5"/>
      <c r="C6" s="5"/>
      <c r="D6" s="5"/>
      <c r="E6" s="5"/>
      <c r="F6" s="5"/>
      <c r="G6" s="5"/>
      <c r="H6" s="5"/>
    </row>
    <row r="7" spans="1:8" ht="18" x14ac:dyDescent="0.25">
      <c r="A7" s="5"/>
      <c r="B7" s="148"/>
      <c r="C7" s="5"/>
      <c r="D7" s="5"/>
      <c r="E7" s="5"/>
      <c r="F7" s="5"/>
      <c r="G7" s="5"/>
      <c r="H7" s="5"/>
    </row>
    <row r="8" spans="1:8" x14ac:dyDescent="0.2">
      <c r="A8" s="5" t="str">
        <f>Foglio2!A2</f>
        <v>VERBALE ACCETTAZIONE NR: 22/27.02.2026</v>
      </c>
      <c r="B8" s="5"/>
      <c r="C8" s="175"/>
      <c r="D8" s="5"/>
      <c r="E8" s="5"/>
      <c r="F8" s="137"/>
      <c r="G8" s="5" t="s">
        <v>123</v>
      </c>
      <c r="H8" s="161">
        <f>Foglio2!E58</f>
        <v>46080</v>
      </c>
    </row>
    <row r="9" spans="1:8" x14ac:dyDescent="0.2">
      <c r="A9" s="301"/>
      <c r="B9" s="246"/>
      <c r="C9" s="5"/>
      <c r="D9" s="5" t="s">
        <v>115</v>
      </c>
      <c r="E9" s="147" t="str">
        <f>Foglio2!D14</f>
        <v>2_Ei</v>
      </c>
      <c r="F9" s="5"/>
      <c r="G9" s="5"/>
      <c r="H9" s="5"/>
    </row>
    <row r="10" spans="1:8" ht="12.75" customHeight="1" x14ac:dyDescent="0.2">
      <c r="A10" s="5" t="s">
        <v>97</v>
      </c>
      <c r="B10" s="5"/>
      <c r="C10" s="5"/>
      <c r="D10" s="5"/>
      <c r="E10" s="5"/>
      <c r="F10" s="5"/>
      <c r="G10" s="5" t="s">
        <v>124</v>
      </c>
      <c r="H10" s="5"/>
    </row>
    <row r="11" spans="1:8" x14ac:dyDescent="0.2">
      <c r="A11" s="137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ht="15" x14ac:dyDescent="0.2">
      <c r="A13" s="5" t="s">
        <v>98</v>
      </c>
      <c r="B13" s="5"/>
      <c r="C13" s="176"/>
      <c r="D13" s="5"/>
      <c r="E13" s="5"/>
      <c r="F13" s="5"/>
      <c r="G13" s="41" t="s">
        <v>125</v>
      </c>
      <c r="H13" s="177">
        <f>H14+H15</f>
        <v>4823.3691004437278</v>
      </c>
    </row>
    <row r="14" spans="1:8" ht="15.75" x14ac:dyDescent="0.2">
      <c r="A14" s="5" t="s">
        <v>99</v>
      </c>
      <c r="B14" s="5"/>
      <c r="C14" s="178"/>
      <c r="D14" s="5"/>
      <c r="E14" s="5"/>
      <c r="F14" s="158"/>
      <c r="G14" s="41" t="s">
        <v>126</v>
      </c>
      <c r="H14" s="179">
        <f>SUM(Foglio2!D20:D28)</f>
        <v>479.6</v>
      </c>
    </row>
    <row r="15" spans="1:8" x14ac:dyDescent="0.2">
      <c r="A15" s="5" t="s">
        <v>100</v>
      </c>
      <c r="B15" s="5"/>
      <c r="C15" s="5"/>
      <c r="D15" s="5"/>
      <c r="E15" s="196">
        <v>7</v>
      </c>
      <c r="F15" s="159">
        <f>E46</f>
        <v>4336.7691004437274</v>
      </c>
      <c r="G15" s="41" t="s">
        <v>127</v>
      </c>
      <c r="H15" s="179">
        <f>E15+F15</f>
        <v>4343.7691004437274</v>
      </c>
    </row>
    <row r="16" spans="1:8" x14ac:dyDescent="0.2">
      <c r="A16" s="5" t="s">
        <v>101</v>
      </c>
      <c r="B16" s="5"/>
      <c r="C16" s="5"/>
      <c r="D16" s="5"/>
      <c r="E16" s="5"/>
      <c r="F16" s="5"/>
      <c r="G16" s="41" t="s">
        <v>128</v>
      </c>
      <c r="H16" s="197">
        <v>1083.0999999999999</v>
      </c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6"/>
      <c r="B18" s="5"/>
      <c r="C18" s="5"/>
      <c r="D18" s="5"/>
      <c r="E18" s="5"/>
      <c r="F18" s="5"/>
      <c r="G18" s="5"/>
      <c r="H18" s="5"/>
    </row>
    <row r="19" spans="1:8" x14ac:dyDescent="0.2">
      <c r="A19" s="138" t="s">
        <v>81</v>
      </c>
      <c r="B19" s="284" t="s">
        <v>110</v>
      </c>
      <c r="C19" s="249"/>
      <c r="D19" s="243"/>
      <c r="E19" s="293" t="s">
        <v>118</v>
      </c>
      <c r="F19" s="302"/>
      <c r="G19" s="302"/>
      <c r="H19" s="303"/>
    </row>
    <row r="20" spans="1:8" x14ac:dyDescent="0.2">
      <c r="A20" s="139" t="s">
        <v>102</v>
      </c>
      <c r="B20" s="284" t="s">
        <v>111</v>
      </c>
      <c r="C20" s="244"/>
      <c r="D20" s="155" t="s">
        <v>116</v>
      </c>
      <c r="E20" s="285"/>
      <c r="F20" s="286"/>
      <c r="G20" s="287"/>
      <c r="H20" s="288"/>
    </row>
    <row r="21" spans="1:8" x14ac:dyDescent="0.2">
      <c r="A21" s="140">
        <v>5.6</v>
      </c>
      <c r="B21" s="289">
        <v>22.8</v>
      </c>
      <c r="C21" s="290"/>
      <c r="D21" s="156">
        <f>B21*($H$15/$H$16)</f>
        <v>91.439327384467717</v>
      </c>
      <c r="E21" s="293"/>
      <c r="F21" s="294"/>
      <c r="G21" s="294"/>
      <c r="H21" s="295"/>
    </row>
    <row r="22" spans="1:8" x14ac:dyDescent="0.2">
      <c r="A22" s="140">
        <v>4</v>
      </c>
      <c r="B22" s="289">
        <v>13.6</v>
      </c>
      <c r="C22" s="290"/>
      <c r="D22" s="156">
        <f t="shared" ref="D22:D28" si="0">B22*($H$15/$H$16)</f>
        <v>54.542756685471971</v>
      </c>
      <c r="E22" s="292"/>
      <c r="F22" s="287"/>
      <c r="G22" s="287"/>
      <c r="H22" s="288"/>
    </row>
    <row r="23" spans="1:8" x14ac:dyDescent="0.2">
      <c r="A23" s="141">
        <v>2</v>
      </c>
      <c r="B23" s="289">
        <v>53</v>
      </c>
      <c r="C23" s="290"/>
      <c r="D23" s="156">
        <f t="shared" si="0"/>
        <v>212.55633120073637</v>
      </c>
      <c r="E23" s="296" t="s">
        <v>119</v>
      </c>
      <c r="F23" s="294"/>
      <c r="G23" s="294"/>
      <c r="H23" s="295"/>
    </row>
    <row r="24" spans="1:8" x14ac:dyDescent="0.2">
      <c r="A24" s="141">
        <v>1</v>
      </c>
      <c r="B24" s="289">
        <v>83.2</v>
      </c>
      <c r="C24" s="290"/>
      <c r="D24" s="156">
        <f t="shared" si="0"/>
        <v>333.673335017005</v>
      </c>
      <c r="E24" s="291" t="s">
        <v>120</v>
      </c>
      <c r="F24" s="246"/>
      <c r="G24" s="246"/>
      <c r="H24" s="297"/>
    </row>
    <row r="25" spans="1:8" x14ac:dyDescent="0.2">
      <c r="A25" s="141">
        <v>0.5</v>
      </c>
      <c r="B25" s="289">
        <v>116.6</v>
      </c>
      <c r="C25" s="290"/>
      <c r="D25" s="156">
        <f t="shared" si="0"/>
        <v>467.62392864161995</v>
      </c>
      <c r="E25" s="291"/>
      <c r="F25" s="246"/>
      <c r="G25" s="5"/>
      <c r="H25" s="162"/>
    </row>
    <row r="26" spans="1:8" x14ac:dyDescent="0.2">
      <c r="A26" s="141">
        <v>0.25</v>
      </c>
      <c r="B26" s="289">
        <v>128.4</v>
      </c>
      <c r="C26" s="290"/>
      <c r="D26" s="156">
        <f t="shared" si="0"/>
        <v>514.94779105989721</v>
      </c>
      <c r="E26" s="291"/>
      <c r="F26" s="246"/>
      <c r="G26" s="5"/>
      <c r="H26" s="162"/>
    </row>
    <row r="27" spans="1:8" x14ac:dyDescent="0.2">
      <c r="A27" s="142">
        <v>0.125</v>
      </c>
      <c r="B27" s="289">
        <v>119.2</v>
      </c>
      <c r="C27" s="290"/>
      <c r="D27" s="156">
        <f t="shared" si="0"/>
        <v>478.05122036090143</v>
      </c>
      <c r="E27" s="291"/>
      <c r="F27" s="246"/>
      <c r="G27" s="5"/>
      <c r="H27" s="162"/>
    </row>
    <row r="28" spans="1:8" x14ac:dyDescent="0.2">
      <c r="A28" s="143">
        <v>6.3E-2</v>
      </c>
      <c r="B28" s="289">
        <v>109.6</v>
      </c>
      <c r="C28" s="290"/>
      <c r="D28" s="156">
        <f t="shared" si="0"/>
        <v>439.55045093586233</v>
      </c>
      <c r="E28" s="292"/>
      <c r="F28" s="287"/>
      <c r="G28" s="158"/>
      <c r="H28" s="152"/>
    </row>
    <row r="29" spans="1:8" x14ac:dyDescent="0.2">
      <c r="A29" s="144" t="s">
        <v>103</v>
      </c>
      <c r="B29" s="284">
        <f>H16-SUM(B21:C28)</f>
        <v>436.69999999999982</v>
      </c>
      <c r="C29" s="250"/>
      <c r="D29" s="156">
        <f>B29*($H$15/$H$16)</f>
        <v>1751.3839591577646</v>
      </c>
      <c r="E29" s="284" t="s">
        <v>121</v>
      </c>
      <c r="F29" s="249"/>
      <c r="G29" s="249"/>
      <c r="H29" s="250"/>
    </row>
    <row r="30" spans="1:8" x14ac:dyDescent="0.2">
      <c r="A30" s="145" t="s">
        <v>104</v>
      </c>
      <c r="B30" s="29"/>
      <c r="C30" s="30"/>
      <c r="D30" s="157"/>
      <c r="E30" s="284" t="s">
        <v>122</v>
      </c>
      <c r="F30" s="249"/>
      <c r="G30" s="249"/>
      <c r="H30" s="250"/>
    </row>
    <row r="31" spans="1:8" x14ac:dyDescent="0.2">
      <c r="A31" s="146" t="s">
        <v>105</v>
      </c>
      <c r="B31" s="149"/>
      <c r="C31" s="152"/>
      <c r="D31" s="157"/>
      <c r="E31" s="158"/>
      <c r="F31" s="158"/>
      <c r="G31" s="158"/>
      <c r="H31" s="152"/>
    </row>
    <row r="32" spans="1:8" x14ac:dyDescent="0.2">
      <c r="A32" s="5"/>
      <c r="B32" s="5"/>
      <c r="C32" s="5"/>
      <c r="D32" s="294"/>
      <c r="E32" s="294"/>
      <c r="F32" s="294"/>
      <c r="G32" s="294"/>
      <c r="H32" s="294"/>
    </row>
    <row r="33" spans="1:9" x14ac:dyDescent="0.2">
      <c r="A33" s="5" t="s">
        <v>106</v>
      </c>
      <c r="B33" s="5"/>
      <c r="C33" s="172">
        <v>498.7</v>
      </c>
      <c r="D33" s="9"/>
      <c r="E33" s="9"/>
      <c r="F33" s="5"/>
      <c r="G33" s="41" t="s">
        <v>129</v>
      </c>
      <c r="H33" s="204">
        <v>1239.5</v>
      </c>
    </row>
    <row r="34" spans="1:9" x14ac:dyDescent="0.2">
      <c r="A34" s="5" t="s">
        <v>107</v>
      </c>
      <c r="B34" s="5"/>
      <c r="C34" s="172">
        <v>4963</v>
      </c>
      <c r="D34" s="5"/>
      <c r="E34" s="5"/>
      <c r="F34" s="5"/>
      <c r="G34" s="41" t="s">
        <v>130</v>
      </c>
      <c r="H34" s="203">
        <f>H33+H35</f>
        <v>1630</v>
      </c>
    </row>
    <row r="35" spans="1:9" x14ac:dyDescent="0.2">
      <c r="A35" s="5"/>
      <c r="B35" s="5"/>
      <c r="C35" s="153">
        <f>C33+C34</f>
        <v>5461.7</v>
      </c>
      <c r="D35" s="5"/>
      <c r="E35" s="5"/>
      <c r="F35" s="5"/>
      <c r="G35" s="41" t="s">
        <v>131</v>
      </c>
      <c r="H35" s="163">
        <v>390.5</v>
      </c>
    </row>
    <row r="36" spans="1:9" x14ac:dyDescent="0.2">
      <c r="A36" s="5"/>
      <c r="B36" s="5"/>
      <c r="C36" s="5"/>
      <c r="D36" s="5"/>
      <c r="E36" s="5"/>
      <c r="F36" s="5"/>
      <c r="G36" s="41" t="s">
        <v>134</v>
      </c>
      <c r="H36" s="5">
        <f>H16+H35</f>
        <v>1473.6</v>
      </c>
    </row>
    <row r="37" spans="1:9" x14ac:dyDescent="0.2">
      <c r="A37" s="5" t="s">
        <v>108</v>
      </c>
      <c r="B37" s="5"/>
      <c r="C37" s="5"/>
      <c r="D37" s="5"/>
      <c r="E37" s="5"/>
      <c r="F37" s="5"/>
      <c r="G37" s="5"/>
      <c r="H37" s="5"/>
    </row>
    <row r="39" spans="1:9" x14ac:dyDescent="0.2">
      <c r="H39" s="160" t="s">
        <v>132</v>
      </c>
      <c r="I39" s="180">
        <f>((H33-H16)/(H16))</f>
        <v>0.14440033237928179</v>
      </c>
    </row>
    <row r="40" spans="1:9" x14ac:dyDescent="0.2">
      <c r="H40" s="160" t="s">
        <v>136</v>
      </c>
      <c r="I40" s="181">
        <f>(C35-H13)/H13</f>
        <v>0.13234129220953639</v>
      </c>
    </row>
    <row r="41" spans="1:9" ht="15" x14ac:dyDescent="0.25">
      <c r="B41" s="150" t="s">
        <v>112</v>
      </c>
    </row>
    <row r="42" spans="1:9" x14ac:dyDescent="0.2">
      <c r="A42" s="5"/>
      <c r="B42" s="5"/>
      <c r="C42" s="5"/>
      <c r="D42" s="5"/>
    </row>
    <row r="43" spans="1:9" x14ac:dyDescent="0.2">
      <c r="A43" s="5"/>
      <c r="B43" s="151" t="s">
        <v>113</v>
      </c>
      <c r="C43" s="151"/>
      <c r="D43" s="233" t="s">
        <v>117</v>
      </c>
      <c r="E43" s="304" t="s">
        <v>137</v>
      </c>
      <c r="F43" s="304"/>
      <c r="G43" s="304"/>
      <c r="H43" s="304"/>
    </row>
    <row r="44" spans="1:9" x14ac:dyDescent="0.2">
      <c r="A44" s="5"/>
      <c r="B44" s="5" t="s">
        <v>114</v>
      </c>
      <c r="C44" s="5"/>
      <c r="D44" s="233"/>
      <c r="E44" s="304"/>
      <c r="F44" s="304"/>
      <c r="G44" s="304"/>
      <c r="H44" s="304"/>
    </row>
    <row r="45" spans="1:9" x14ac:dyDescent="0.2">
      <c r="A45" s="5"/>
      <c r="B45" s="5"/>
      <c r="C45" s="5"/>
      <c r="D45" s="46"/>
      <c r="E45" s="182"/>
      <c r="F45" s="182"/>
      <c r="G45" s="182"/>
      <c r="H45" s="182"/>
    </row>
    <row r="46" spans="1:9" x14ac:dyDescent="0.2">
      <c r="A46" s="5"/>
      <c r="B46" s="5"/>
      <c r="C46" s="154">
        <f>C34*H16</f>
        <v>5375425.2999999998</v>
      </c>
      <c r="D46" s="233" t="s">
        <v>117</v>
      </c>
      <c r="E46" s="305">
        <f>C46/C47</f>
        <v>4336.7691004437274</v>
      </c>
      <c r="F46" s="305"/>
      <c r="G46" s="305"/>
      <c r="H46" s="182"/>
    </row>
    <row r="47" spans="1:9" x14ac:dyDescent="0.2">
      <c r="A47" s="5"/>
      <c r="B47" s="5"/>
      <c r="C47" s="9">
        <f>H33</f>
        <v>1239.5</v>
      </c>
      <c r="D47" s="233"/>
      <c r="E47" s="305"/>
      <c r="F47" s="305"/>
      <c r="G47" s="305"/>
      <c r="H47" s="182"/>
    </row>
    <row r="48" spans="1:9" x14ac:dyDescent="0.2">
      <c r="A48" s="5"/>
      <c r="B48" s="5"/>
      <c r="C48" s="5"/>
      <c r="D48" s="5"/>
    </row>
    <row r="49" spans="1:8" x14ac:dyDescent="0.2">
      <c r="A49" s="5"/>
      <c r="B49" s="5"/>
      <c r="C49" s="5"/>
      <c r="D49" s="5"/>
    </row>
    <row r="50" spans="1:8" x14ac:dyDescent="0.2">
      <c r="A50" s="183" t="s">
        <v>109</v>
      </c>
      <c r="H50" s="183" t="s">
        <v>133</v>
      </c>
    </row>
  </sheetData>
  <mergeCells count="30">
    <mergeCell ref="D43:D44"/>
    <mergeCell ref="E43:H44"/>
    <mergeCell ref="D46:D47"/>
    <mergeCell ref="E46:G47"/>
    <mergeCell ref="B23:C23"/>
    <mergeCell ref="E30:H30"/>
    <mergeCell ref="D32:H32"/>
    <mergeCell ref="E25:F25"/>
    <mergeCell ref="E26:F26"/>
    <mergeCell ref="A1:H1"/>
    <mergeCell ref="A5:H5"/>
    <mergeCell ref="A9:B9"/>
    <mergeCell ref="B19:D19"/>
    <mergeCell ref="E19:H19"/>
    <mergeCell ref="B20:C20"/>
    <mergeCell ref="E20:H20"/>
    <mergeCell ref="B21:C21"/>
    <mergeCell ref="B22:C22"/>
    <mergeCell ref="B29:C29"/>
    <mergeCell ref="B28:C28"/>
    <mergeCell ref="B27:C27"/>
    <mergeCell ref="B24:C24"/>
    <mergeCell ref="B25:C25"/>
    <mergeCell ref="B26:C26"/>
    <mergeCell ref="E27:F27"/>
    <mergeCell ref="E28:F28"/>
    <mergeCell ref="E29:H29"/>
    <mergeCell ref="E21:H22"/>
    <mergeCell ref="E23:H23"/>
    <mergeCell ref="E24:H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Foglio2</vt:lpstr>
      <vt:lpstr>Foglio3</vt:lpstr>
      <vt:lpstr>Foglio4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</dc:creator>
  <cp:lastModifiedBy>GEO-LABOR SAS DI FALLAH SHAMS SEYED FARHAD E C. IT 017</cp:lastModifiedBy>
  <cp:lastPrinted>2026-03-13T13:54:26Z</cp:lastPrinted>
  <dcterms:created xsi:type="dcterms:W3CDTF">1999-08-31T15:41:37Z</dcterms:created>
  <dcterms:modified xsi:type="dcterms:W3CDTF">2026-03-16T15:44:58Z</dcterms:modified>
</cp:coreProperties>
</file>