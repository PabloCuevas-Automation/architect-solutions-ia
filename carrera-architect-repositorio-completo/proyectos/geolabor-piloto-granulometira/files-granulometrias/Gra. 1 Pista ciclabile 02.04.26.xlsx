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Y:\PC2\GEOLABOR-LAVORO\TUTTO 2026\PROVE 2026\RAINER BAU 2026\V.A. 40-26\"/>
    </mc:Choice>
  </mc:AlternateContent>
  <xr:revisionPtr revIDLastSave="0" documentId="13_ncr:1_{518A29EE-C634-4847-B462-FBA1DDFEA991}" xr6:coauthVersionLast="47" xr6:coauthVersionMax="47" xr10:uidLastSave="{00000000-0000-0000-0000-000000000000}"/>
  <bookViews>
    <workbookView xWindow="0" yWindow="390" windowWidth="29040" windowHeight="15720" xr2:uid="{00000000-000D-0000-FFFF-FFFF00000000}"/>
  </bookViews>
  <sheets>
    <sheet name="Foglio1" sheetId="1" r:id="rId1"/>
    <sheet name="Foglio2" sheetId="2" r:id="rId2"/>
    <sheet name="Foglio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4" i="3" l="1"/>
  <c r="H33" i="3" l="1"/>
  <c r="C47" i="3" s="1"/>
  <c r="H16" i="3"/>
  <c r="C46" i="3" s="1"/>
  <c r="E46" i="3" l="1"/>
  <c r="H39" i="3"/>
  <c r="AH5" i="1" l="1"/>
  <c r="B29" i="3" l="1"/>
  <c r="C35" i="3"/>
  <c r="H8" i="3"/>
  <c r="E9" i="3"/>
  <c r="A7" i="3"/>
  <c r="AR7" i="1"/>
  <c r="L8" i="1"/>
  <c r="AR6" i="1"/>
  <c r="AH6" i="1"/>
  <c r="L6" i="1"/>
  <c r="A6" i="1"/>
  <c r="AH7" i="1"/>
  <c r="A2" i="1"/>
  <c r="A8" i="1"/>
  <c r="AS41" i="1"/>
  <c r="AS40" i="1"/>
  <c r="A7" i="1"/>
  <c r="A5" i="1"/>
  <c r="X41" i="1"/>
  <c r="V40" i="1"/>
  <c r="L9" i="1"/>
  <c r="A9" i="1"/>
  <c r="A41" i="1"/>
  <c r="A42" i="1"/>
  <c r="A40" i="1"/>
  <c r="L7" i="1"/>
  <c r="L5" i="1"/>
  <c r="N42" i="1"/>
  <c r="N41" i="1"/>
  <c r="N40" i="1"/>
  <c r="F15" i="3" l="1"/>
  <c r="H15" i="3" s="1"/>
  <c r="D27" i="3" l="1"/>
  <c r="D25" i="3"/>
  <c r="D24" i="3"/>
  <c r="D22" i="3"/>
  <c r="H13" i="3"/>
  <c r="D29" i="3"/>
  <c r="D21" i="3"/>
  <c r="D28" i="3"/>
  <c r="D26" i="3"/>
  <c r="D23" i="3"/>
  <c r="D40" i="2" l="1"/>
  <c r="F40" i="2" s="1"/>
  <c r="B45" i="2" s="1"/>
  <c r="H40" i="3"/>
  <c r="E34" i="2" l="1"/>
  <c r="E36" i="2"/>
  <c r="E38" i="2"/>
  <c r="E31" i="2"/>
  <c r="E37" i="2"/>
  <c r="E30" i="2"/>
  <c r="E39" i="2"/>
  <c r="E33" i="2"/>
  <c r="E32" i="2"/>
  <c r="E35" i="2"/>
  <c r="F30" i="2" l="1"/>
  <c r="F31" i="2" s="1"/>
  <c r="B44" i="2"/>
  <c r="F32" i="2"/>
  <c r="F33" i="2" s="1"/>
  <c r="F34" i="2" s="1"/>
  <c r="F35" i="2" s="1"/>
  <c r="F36" i="2" s="1"/>
  <c r="F37" i="2" s="1"/>
  <c r="F38" i="2" s="1"/>
  <c r="F39" i="2" s="1"/>
  <c r="B42" i="2"/>
  <c r="B43" i="2" s="1"/>
</calcChain>
</file>

<file path=xl/sharedStrings.xml><?xml version="1.0" encoding="utf-8"?>
<sst xmlns="http://schemas.openxmlformats.org/spreadsheetml/2006/main" count="134" uniqueCount="119">
  <si>
    <t>Setaccio</t>
  </si>
  <si>
    <t>%</t>
  </si>
  <si>
    <t>&lt; 0.063</t>
  </si>
  <si>
    <t>5/8"</t>
  </si>
  <si>
    <t>ARGILLA</t>
  </si>
  <si>
    <t>LIMO</t>
  </si>
  <si>
    <t>SABBIA</t>
  </si>
  <si>
    <t>GHIAIA</t>
  </si>
  <si>
    <t>CIOTTOLI</t>
  </si>
  <si>
    <t>Fine</t>
  </si>
  <si>
    <t>Medio</t>
  </si>
  <si>
    <t>Grosso</t>
  </si>
  <si>
    <t>Peso secco iniziale (g)</t>
  </si>
  <si>
    <t>TABELLA RIASSUNTIVA</t>
  </si>
  <si>
    <t>5/16"</t>
  </si>
  <si>
    <t>0.002</t>
  </si>
  <si>
    <t>0.006</t>
  </si>
  <si>
    <t>0.2</t>
  </si>
  <si>
    <t>DIRETTORE LABORATORIO</t>
  </si>
  <si>
    <t>Sieb</t>
  </si>
  <si>
    <t>Durchmesser</t>
  </si>
  <si>
    <t>Durchgang</t>
  </si>
  <si>
    <t>Rückstand</t>
  </si>
  <si>
    <t>Trattenuto (g)</t>
  </si>
  <si>
    <t>Steine/Ciottoli</t>
  </si>
  <si>
    <t>Sand/Sabbia</t>
  </si>
  <si>
    <t xml:space="preserve">SIEBUG/SETACCIATURA </t>
  </si>
  <si>
    <t>Trockenmasse (g)</t>
  </si>
  <si>
    <t>Schluff/Limo+Ton</t>
  </si>
  <si>
    <t>2. 1/4"</t>
  </si>
  <si>
    <t>1. 3/4"</t>
  </si>
  <si>
    <t>2. 1/2"</t>
  </si>
  <si>
    <t>1.1/4"</t>
  </si>
  <si>
    <t>7/8"</t>
  </si>
  <si>
    <t>7/16"</t>
  </si>
  <si>
    <r>
      <t xml:space="preserve">Geo-Labor </t>
    </r>
    <r>
      <rPr>
        <sz val="12"/>
        <rFont val="Times New Roman"/>
        <family val="1"/>
      </rPr>
      <t>s.a.s.</t>
    </r>
  </si>
  <si>
    <t>ANNAHMEDATUM/DATA ACCETTAZIONE:</t>
  </si>
  <si>
    <t>BESCHEINIGUNG/CERTIFICAZIONE NR.:</t>
  </si>
  <si>
    <t>VERSUCH DATUM/DATA PROVA :</t>
  </si>
  <si>
    <t>BESCHREIBUNG/DESCRIZIONE:</t>
  </si>
  <si>
    <t>dr. F. Shams</t>
  </si>
  <si>
    <t>Diametro (mm)</t>
  </si>
  <si>
    <t>Trattenuto (%)</t>
  </si>
  <si>
    <t>Passante (%)</t>
  </si>
  <si>
    <t>Kies/Ghiaia</t>
  </si>
  <si>
    <t>Pag. 2 di 2</t>
  </si>
  <si>
    <t>Pag. 1 di 2</t>
  </si>
  <si>
    <r>
      <t xml:space="preserve">ANALISI GRANULOMETRICA </t>
    </r>
    <r>
      <rPr>
        <sz val="10"/>
        <rFont val="Arial"/>
        <family val="2"/>
      </rPr>
      <t>(NORMA: UNI CEN ISO/TS 17892-4)</t>
    </r>
  </si>
  <si>
    <r>
      <t>KORNGROSSENANALYSE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(GEMÄß: UNI CEN ISO/TS 17892-4)</t>
    </r>
  </si>
  <si>
    <t>PROBE/CAMP.:</t>
  </si>
  <si>
    <t>Via del Garda, 46/L - Tel. 0464913102</t>
  </si>
  <si>
    <t>38068 - Rovereto (TN)</t>
  </si>
  <si>
    <r>
      <t xml:space="preserve">Cu </t>
    </r>
    <r>
      <rPr>
        <sz val="8"/>
        <rFont val="Arial"/>
        <family val="2"/>
      </rPr>
      <t>coeff.uniformità</t>
    </r>
  </si>
  <si>
    <r>
      <t xml:space="preserve">Cc </t>
    </r>
    <r>
      <rPr>
        <sz val="8"/>
        <rFont val="Arial"/>
        <family val="2"/>
      </rPr>
      <t>coeff. curvatura</t>
    </r>
  </si>
  <si>
    <t>Via del Garda, 46L - tel. 0464913102</t>
  </si>
  <si>
    <r>
      <t xml:space="preserve">       Geo-Labor </t>
    </r>
    <r>
      <rPr>
        <sz val="12"/>
        <rFont val="Times New Roman"/>
        <family val="1"/>
      </rPr>
      <t>s.a.s.</t>
    </r>
  </si>
  <si>
    <t xml:space="preserve">TIEFE/PROF. m: </t>
  </si>
  <si>
    <t>D10 mm =</t>
  </si>
  <si>
    <t>D30 mm =</t>
  </si>
  <si>
    <t>D60 mm =</t>
  </si>
  <si>
    <t>3. 1/2"</t>
  </si>
  <si>
    <t>=</t>
  </si>
  <si>
    <t>DETERMINAZIONE DELLA GRANULOMETRIA DI UN AGGREGATO</t>
  </si>
  <si>
    <t>Norma UNI EN 933-1, UNI CEN ISO TS 17892-4</t>
  </si>
  <si>
    <t>Data arrivo______________</t>
  </si>
  <si>
    <t>Campione____________</t>
  </si>
  <si>
    <t>Sperimentatore_________________</t>
  </si>
  <si>
    <t>Data prove______________</t>
  </si>
  <si>
    <t>Quantità del campione in prova:</t>
  </si>
  <si>
    <t>m 1 PNS:</t>
  </si>
  <si>
    <t>Massa della frazione grossa ≥ 8,00 mm.:</t>
  </si>
  <si>
    <t>m 2 PNS:</t>
  </si>
  <si>
    <t>Massa della frazione fine ≤ 8,00 mm:</t>
  </si>
  <si>
    <t>m 3 PNS:</t>
  </si>
  <si>
    <t>Massa del campione ottenuto dopo quartatura:</t>
  </si>
  <si>
    <t>m 4 PNS:</t>
  </si>
  <si>
    <t>Massa trattenuta</t>
  </si>
  <si>
    <t>Note</t>
  </si>
  <si>
    <t>mm.</t>
  </si>
  <si>
    <t>M (g)</t>
  </si>
  <si>
    <t>M. tot. (A) g</t>
  </si>
  <si>
    <t xml:space="preserve">Ridurre il passante allo staccio ≤ 8,00 a circa 1000 gr </t>
  </si>
  <si>
    <t>(solo se il passante è maggiore di 1000 grammi)</t>
  </si>
  <si>
    <t>≤ 0,063</t>
  </si>
  <si>
    <t>(A): Massa totale trattenuta a ciascun setaccio:</t>
  </si>
  <si>
    <t>Somma g</t>
  </si>
  <si>
    <t>M*(M3/M4) = M tot.</t>
  </si>
  <si>
    <t>Perdita g</t>
  </si>
  <si>
    <t>PNU &gt; 8mm:</t>
  </si>
  <si>
    <t>PNU Quartato &lt; 8mm:</t>
  </si>
  <si>
    <t>PNU &lt; 8mm:</t>
  </si>
  <si>
    <t>PLU Quartato &lt; 8mm:</t>
  </si>
  <si>
    <t>tara:</t>
  </si>
  <si>
    <t>Note:___________________________________________________________________________________</t>
  </si>
  <si>
    <t>Calcolo proporzione per Tot. SECCO &lt;8mm =</t>
  </si>
  <si>
    <t xml:space="preserve">PNU &lt; 8mm   X   m 4 PNS       </t>
  </si>
  <si>
    <t>PNU Quartato &lt; 8mm</t>
  </si>
  <si>
    <t>gra-terre 0-8</t>
  </si>
  <si>
    <t>Geo-Labor sas</t>
  </si>
  <si>
    <t>PLS Quartato &lt; 8mm:</t>
  </si>
  <si>
    <t>%W &lt; 8 mm =</t>
  </si>
  <si>
    <t xml:space="preserve">Massa secca della frazione fine &lt; 8,00 mm </t>
  </si>
  <si>
    <t>PNU Totale:</t>
  </si>
  <si>
    <t xml:space="preserve">BOHRUNG/SONDAGGIO: </t>
  </si>
  <si>
    <t>%W totale =</t>
  </si>
  <si>
    <t>\</t>
  </si>
  <si>
    <t>SPERIMENTATORE</t>
  </si>
  <si>
    <t>R. Mattuzzi</t>
  </si>
  <si>
    <t xml:space="preserve">AUFTRAGGEBER/COMMITT.: </t>
  </si>
  <si>
    <t xml:space="preserve">BEZUG/RIF.: </t>
  </si>
  <si>
    <t>ORT/LOCALITA':</t>
  </si>
  <si>
    <t>PROJEKT/PROG.:</t>
  </si>
  <si>
    <t>VERBALE ACCETTAZIONE NR: 40/02.04.2026</t>
  </si>
  <si>
    <t>Rainerbau</t>
  </si>
  <si>
    <t>Dr. Ing. C. Staggl</t>
  </si>
  <si>
    <t>Comune di Valle Aurina (BZ)</t>
  </si>
  <si>
    <t>Ampliamento della pista ciclabile, tratto B. incrocio via Gföllberg fino incrocio Jahrlboden</t>
  </si>
  <si>
    <t>40/</t>
  </si>
  <si>
    <t>sabbia limosa di colore bianco, con ghiaia spigolosa (marmo di Racines).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</si>
</sst>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dd/mm/yy;@"/>
  </numFmts>
  <fonts count="25" x14ac:knownFonts="1">
    <font>
      <sz val="10"/>
      <name val="Helv"/>
    </font>
    <font>
      <b/>
      <sz val="10"/>
      <name val="Helv"/>
    </font>
    <font>
      <sz val="10"/>
      <name val="Helv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8"/>
      <name val="Times New Roman"/>
      <family val="1"/>
    </font>
    <font>
      <sz val="10"/>
      <name val="Helv"/>
    </font>
    <font>
      <sz val="8"/>
      <name val="Helv"/>
    </font>
    <font>
      <sz val="10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1"/>
      <name val="Helv"/>
    </font>
    <font>
      <sz val="10"/>
      <color rgb="FFFF0000"/>
      <name val="Helv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0"/>
      <color rgb="FFFF0000"/>
      <name val="Arial"/>
      <family val="2"/>
    </font>
    <font>
      <sz val="9"/>
      <color rgb="FFFF0000"/>
      <name val="Helv"/>
    </font>
    <font>
      <sz val="9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Gray">
        <fgColor indexed="9"/>
        <bgColor indexed="9"/>
      </patternFill>
    </fill>
    <fill>
      <patternFill patternType="solid">
        <fgColor indexed="9"/>
        <bgColor indexed="9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58">
    <xf numFmtId="0" fontId="0" fillId="0" borderId="0" xfId="0"/>
    <xf numFmtId="2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2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 vertical="center"/>
    </xf>
    <xf numFmtId="2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2" fontId="6" fillId="0" borderId="0" xfId="0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2" fontId="4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7" fontId="4" fillId="0" borderId="0" xfId="0" applyNumberFormat="1" applyFont="1" applyAlignment="1">
      <alignment vertical="center"/>
    </xf>
    <xf numFmtId="2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2" fontId="4" fillId="0" borderId="6" xfId="0" applyNumberFormat="1" applyFont="1" applyBorder="1" applyAlignment="1">
      <alignment horizontal="left" vertical="center"/>
    </xf>
    <xf numFmtId="2" fontId="4" fillId="0" borderId="6" xfId="0" applyNumberFormat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65" fontId="7" fillId="2" borderId="0" xfId="0" applyNumberFormat="1" applyFont="1" applyFill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2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left" vertical="center"/>
    </xf>
    <xf numFmtId="2" fontId="4" fillId="3" borderId="5" xfId="0" applyNumberFormat="1" applyFont="1" applyFill="1" applyBorder="1" applyAlignment="1">
      <alignment horizontal="left" vertical="center"/>
    </xf>
    <xf numFmtId="166" fontId="4" fillId="2" borderId="4" xfId="0" applyNumberFormat="1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left" vertical="center"/>
    </xf>
    <xf numFmtId="2" fontId="4" fillId="0" borderId="3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2" fontId="4" fillId="0" borderId="2" xfId="0" applyNumberFormat="1" applyFont="1" applyBorder="1" applyAlignment="1">
      <alignment horizontal="left" vertical="center"/>
    </xf>
    <xf numFmtId="2" fontId="4" fillId="0" borderId="4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" fontId="20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/>
    </xf>
    <xf numFmtId="1" fontId="0" fillId="0" borderId="0" xfId="0" applyNumberFormat="1" applyAlignment="1">
      <alignment horizontal="left" vertical="center"/>
    </xf>
    <xf numFmtId="166" fontId="4" fillId="0" borderId="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2" fontId="7" fillId="0" borderId="9" xfId="0" applyNumberFormat="1" applyFont="1" applyBorder="1" applyAlignment="1">
      <alignment horizontal="center" vertical="center"/>
    </xf>
    <xf numFmtId="166" fontId="4" fillId="2" borderId="9" xfId="0" applyNumberFormat="1" applyFont="1" applyFill="1" applyBorder="1" applyAlignment="1">
      <alignment horizontal="center" vertical="center"/>
    </xf>
    <xf numFmtId="166" fontId="4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2" fontId="14" fillId="0" borderId="0" xfId="0" applyNumberFormat="1" applyFont="1" applyAlignment="1">
      <alignment vertical="center"/>
    </xf>
    <xf numFmtId="166" fontId="0" fillId="0" borderId="0" xfId="0" applyNumberFormat="1"/>
    <xf numFmtId="2" fontId="7" fillId="2" borderId="0" xfId="0" applyNumberFormat="1" applyFont="1" applyFill="1" applyAlignment="1">
      <alignment horizontal="center" vertical="center"/>
    </xf>
    <xf numFmtId="166" fontId="7" fillId="2" borderId="0" xfId="0" applyNumberFormat="1" applyFont="1" applyFill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/>
    <xf numFmtId="2" fontId="21" fillId="0" borderId="0" xfId="0" applyNumberFormat="1" applyFont="1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3" fillId="0" borderId="0" xfId="0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2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justify"/>
    </xf>
    <xf numFmtId="0" fontId="15" fillId="0" borderId="0" xfId="0" applyFont="1"/>
    <xf numFmtId="0" fontId="15" fillId="0" borderId="0" xfId="0" applyFont="1" applyAlignment="1">
      <alignment horizontal="center"/>
    </xf>
    <xf numFmtId="0" fontId="4" fillId="0" borderId="0" xfId="0" applyFont="1" applyAlignment="1">
      <alignment horizontal="justify"/>
    </xf>
    <xf numFmtId="0" fontId="4" fillId="0" borderId="0" xfId="0" applyFont="1" applyAlignment="1">
      <alignment horizontal="right"/>
    </xf>
    <xf numFmtId="0" fontId="20" fillId="0" borderId="3" xfId="0" applyFont="1" applyBorder="1"/>
    <xf numFmtId="0" fontId="20" fillId="0" borderId="10" xfId="0" applyFont="1" applyBorder="1"/>
    <xf numFmtId="0" fontId="20" fillId="0" borderId="6" xfId="0" applyFont="1" applyBorder="1" applyAlignment="1">
      <alignment horizontal="right"/>
    </xf>
    <xf numFmtId="0" fontId="20" fillId="0" borderId="3" xfId="0" applyFont="1" applyBorder="1" applyAlignment="1">
      <alignment horizontal="right"/>
    </xf>
    <xf numFmtId="0" fontId="16" fillId="0" borderId="0" xfId="0" applyFont="1"/>
    <xf numFmtId="0" fontId="17" fillId="0" borderId="6" xfId="0" applyFont="1" applyBorder="1"/>
    <xf numFmtId="0" fontId="4" fillId="0" borderId="6" xfId="0" applyFont="1" applyBorder="1" applyAlignment="1">
      <alignment horizontal="center"/>
    </xf>
    <xf numFmtId="0" fontId="20" fillId="0" borderId="0" xfId="0" applyFont="1" applyAlignment="1">
      <alignment horizontal="right"/>
    </xf>
    <xf numFmtId="166" fontId="3" fillId="0" borderId="0" xfId="0" applyNumberFormat="1" applyFont="1" applyAlignment="1">
      <alignment horizontal="left" vertical="center"/>
    </xf>
    <xf numFmtId="0" fontId="3" fillId="0" borderId="0" xfId="0" applyFont="1"/>
    <xf numFmtId="0" fontId="7" fillId="0" borderId="0" xfId="0" applyFont="1"/>
    <xf numFmtId="166" fontId="20" fillId="0" borderId="6" xfId="0" applyNumberFormat="1" applyFont="1" applyBorder="1"/>
    <xf numFmtId="0" fontId="18" fillId="0" borderId="0" xfId="0" applyFont="1" applyAlignment="1">
      <alignment horizontal="center"/>
    </xf>
    <xf numFmtId="166" fontId="3" fillId="0" borderId="3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" fontId="22" fillId="0" borderId="0" xfId="0" applyNumberFormat="1" applyFont="1" applyAlignment="1">
      <alignment vertical="center"/>
    </xf>
    <xf numFmtId="14" fontId="4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4" fontId="4" fillId="0" borderId="0" xfId="0" applyNumberFormat="1" applyFont="1"/>
    <xf numFmtId="166" fontId="4" fillId="0" borderId="3" xfId="0" applyNumberFormat="1" applyFont="1" applyBorder="1"/>
    <xf numFmtId="166" fontId="4" fillId="0" borderId="6" xfId="0" applyNumberFormat="1" applyFont="1" applyBorder="1"/>
    <xf numFmtId="166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1" xfId="0" applyNumberFormat="1" applyFont="1" applyBorder="1" applyAlignment="1">
      <alignment horizontal="center"/>
    </xf>
    <xf numFmtId="0" fontId="4" fillId="0" borderId="6" xfId="0" applyFont="1" applyBorder="1"/>
    <xf numFmtId="0" fontId="4" fillId="0" borderId="4" xfId="0" applyFont="1" applyBorder="1"/>
    <xf numFmtId="1" fontId="4" fillId="0" borderId="5" xfId="0" applyNumberFormat="1" applyFont="1" applyBorder="1" applyAlignment="1">
      <alignment horizontal="center"/>
    </xf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5" xfId="0" applyFont="1" applyBorder="1"/>
    <xf numFmtId="0" fontId="4" fillId="0" borderId="8" xfId="0" applyFont="1" applyBorder="1"/>
    <xf numFmtId="166" fontId="20" fillId="0" borderId="0" xfId="0" applyNumberFormat="1" applyFont="1"/>
    <xf numFmtId="166" fontId="22" fillId="0" borderId="0" xfId="0" applyNumberFormat="1" applyFont="1" applyAlignment="1">
      <alignment horizontal="center"/>
    </xf>
    <xf numFmtId="0" fontId="14" fillId="0" borderId="0" xfId="0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65" fontId="0" fillId="0" borderId="0" xfId="0" applyNumberFormat="1"/>
    <xf numFmtId="1" fontId="14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4" fillId="0" borderId="13" xfId="0" applyFont="1" applyBorder="1"/>
    <xf numFmtId="0" fontId="11" fillId="0" borderId="13" xfId="0" applyFont="1" applyBorder="1"/>
    <xf numFmtId="49" fontId="8" fillId="0" borderId="0" xfId="0" applyNumberFormat="1" applyFont="1" applyAlignment="1">
      <alignment horizontal="left" vertical="center"/>
    </xf>
    <xf numFmtId="1" fontId="17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14" fillId="0" borderId="0" xfId="0" applyNumberFormat="1" applyFont="1" applyAlignment="1">
      <alignment horizontal="left" vertical="center"/>
    </xf>
    <xf numFmtId="0" fontId="8" fillId="0" borderId="0" xfId="0" applyFont="1"/>
    <xf numFmtId="0" fontId="0" fillId="0" borderId="0" xfId="0" applyAlignment="1">
      <alignment horizontal="left"/>
    </xf>
    <xf numFmtId="2" fontId="20" fillId="0" borderId="4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vertical="center"/>
    </xf>
    <xf numFmtId="2" fontId="7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166" fontId="10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6" fontId="4" fillId="2" borderId="5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/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9" fillId="0" borderId="0" xfId="0" applyFont="1"/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67" fontId="4" fillId="0" borderId="0" xfId="0" applyNumberFormat="1" applyFont="1" applyAlignment="1">
      <alignment horizontal="center" vertical="center"/>
    </xf>
    <xf numFmtId="0" fontId="7" fillId="0" borderId="13" xfId="0" applyFont="1" applyBorder="1" applyAlignment="1">
      <alignment horizontal="center"/>
    </xf>
    <xf numFmtId="2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7" fillId="0" borderId="13" xfId="0" applyNumberFormat="1" applyFont="1" applyBorder="1" applyAlignment="1">
      <alignment horizontal="left"/>
    </xf>
    <xf numFmtId="164" fontId="4" fillId="0" borderId="13" xfId="0" applyNumberFormat="1" applyFont="1" applyBorder="1"/>
    <xf numFmtId="0" fontId="7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0" borderId="0" xfId="0" applyAlignment="1">
      <alignment wrapText="1"/>
    </xf>
    <xf numFmtId="1" fontId="5" fillId="0" borderId="5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14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justify"/>
    </xf>
    <xf numFmtId="166" fontId="20" fillId="0" borderId="5" xfId="0" applyNumberFormat="1" applyFont="1" applyBorder="1" applyAlignment="1">
      <alignment horizontal="center"/>
    </xf>
    <xf numFmtId="166" fontId="20" fillId="0" borderId="4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4" xfId="0" applyFont="1" applyBorder="1"/>
    <xf numFmtId="0" fontId="4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0" applyFont="1" applyBorder="1"/>
    <xf numFmtId="0" fontId="4" fillId="0" borderId="10" xfId="0" applyFont="1" applyBorder="1"/>
    <xf numFmtId="0" fontId="4" fillId="0" borderId="13" xfId="0" applyFont="1" applyBorder="1"/>
    <xf numFmtId="0" fontId="4" fillId="0" borderId="15" xfId="0" applyFont="1" applyBorder="1"/>
    <xf numFmtId="0" fontId="4" fillId="0" borderId="11" xfId="0" applyFont="1" applyBorder="1"/>
    <xf numFmtId="0" fontId="4" fillId="0" borderId="14" xfId="0" applyFont="1" applyBorder="1"/>
    <xf numFmtId="0" fontId="4" fillId="0" borderId="12" xfId="0" applyFont="1" applyBorder="1"/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6047538183229115E-2"/>
          <c:y val="3.5087794441719868E-2"/>
          <c:w val="0.90092970053060961"/>
          <c:h val="0.88815979680603419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Foglio2!$B$23:$B$39</c:f>
              <c:numCache>
                <c:formatCode>0.000</c:formatCode>
                <c:ptCount val="17"/>
                <c:pt idx="0">
                  <c:v>90</c:v>
                </c:pt>
                <c:pt idx="1">
                  <c:v>63</c:v>
                </c:pt>
                <c:pt idx="2">
                  <c:v>56</c:v>
                </c:pt>
                <c:pt idx="3">
                  <c:v>45</c:v>
                </c:pt>
                <c:pt idx="4">
                  <c:v>31.5</c:v>
                </c:pt>
                <c:pt idx="5">
                  <c:v>22.4</c:v>
                </c:pt>
                <c:pt idx="6">
                  <c:v>16</c:v>
                </c:pt>
                <c:pt idx="7">
                  <c:v>11.2</c:v>
                </c:pt>
                <c:pt idx="8">
                  <c:v>8</c:v>
                </c:pt>
                <c:pt idx="9">
                  <c:v>5.6</c:v>
                </c:pt>
                <c:pt idx="10">
                  <c:v>4</c:v>
                </c:pt>
                <c:pt idx="11">
                  <c:v>2</c:v>
                </c:pt>
                <c:pt idx="12">
                  <c:v>1</c:v>
                </c:pt>
                <c:pt idx="13">
                  <c:v>0.5</c:v>
                </c:pt>
                <c:pt idx="14">
                  <c:v>0.25</c:v>
                </c:pt>
                <c:pt idx="15">
                  <c:v>0.125</c:v>
                </c:pt>
                <c:pt idx="16">
                  <c:v>6.3E-2</c:v>
                </c:pt>
              </c:numCache>
            </c:numRef>
          </c:xVal>
          <c:yVal>
            <c:numRef>
              <c:f>Foglio2!$F$23:$F$39</c:f>
              <c:numCache>
                <c:formatCode>0.0</c:formatCode>
                <c:ptCount val="17"/>
                <c:pt idx="7">
                  <c:v>100</c:v>
                </c:pt>
                <c:pt idx="8">
                  <c:v>99.762543877761715</c:v>
                </c:pt>
                <c:pt idx="9">
                  <c:v>97.295065042329128</c:v>
                </c:pt>
                <c:pt idx="10">
                  <c:v>90.677266157340497</c:v>
                </c:pt>
                <c:pt idx="11">
                  <c:v>75.067107164980385</c:v>
                </c:pt>
                <c:pt idx="12">
                  <c:v>59.797646087136073</c:v>
                </c:pt>
                <c:pt idx="13">
                  <c:v>45.230229196778858</c:v>
                </c:pt>
                <c:pt idx="14">
                  <c:v>32.686351435060914</c:v>
                </c:pt>
                <c:pt idx="15">
                  <c:v>21.618831302911417</c:v>
                </c:pt>
                <c:pt idx="16">
                  <c:v>17.520132149494103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9-43AF-96AA-9CCB0AA3C69B}"/>
            </c:ext>
          </c:extLst>
        </c:ser>
        <c:ser>
          <c:idx val="2"/>
          <c:order val="1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Foglio1!$D$18:$D$19</c:f>
              <c:numCache>
                <c:formatCode>0.000</c:formatCode>
                <c:ptCount val="2"/>
              </c:numCache>
            </c:numRef>
          </c:xVal>
          <c:yVal>
            <c:numRef>
              <c:f>Foglio1!$E$18:$E$19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09-43AF-96AA-9CCB0AA3C69B}"/>
            </c:ext>
          </c:extLst>
        </c:ser>
        <c:ser>
          <c:idx val="3"/>
          <c:order val="2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Foglio1!$D$20:$D$21</c:f>
              <c:numCache>
                <c:formatCode>0.000</c:formatCode>
                <c:ptCount val="2"/>
              </c:numCache>
            </c:numRef>
          </c:xVal>
          <c:yVal>
            <c:numRef>
              <c:f>Foglio1!$E$20:$E$21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09-43AF-96AA-9CCB0AA3C69B}"/>
            </c:ext>
          </c:extLst>
        </c:ser>
        <c:ser>
          <c:idx val="4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Foglio1!$D$22:$D$23</c:f>
              <c:numCache>
                <c:formatCode>0.000</c:formatCode>
                <c:ptCount val="2"/>
              </c:numCache>
            </c:numRef>
          </c:xVal>
          <c:yVal>
            <c:numRef>
              <c:f>Foglio1!$E$22:$E$23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09-43AF-96AA-9CCB0AA3C69B}"/>
            </c:ext>
          </c:extLst>
        </c:ser>
        <c:ser>
          <c:idx val="5"/>
          <c:order val="4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Foglio1!$D$24:$D$25</c:f>
              <c:numCache>
                <c:formatCode>0.000</c:formatCode>
                <c:ptCount val="2"/>
              </c:numCache>
            </c:numRef>
          </c:xVal>
          <c:yVal>
            <c:numRef>
              <c:f>Foglio1!$E$24:$E$25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309-43AF-96AA-9CCB0AA3C69B}"/>
            </c:ext>
          </c:extLst>
        </c:ser>
        <c:ser>
          <c:idx val="6"/>
          <c:order val="5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Foglio1!$D$26:$D$27</c:f>
              <c:numCache>
                <c:formatCode>0.000</c:formatCode>
                <c:ptCount val="2"/>
              </c:numCache>
            </c:numRef>
          </c:xVal>
          <c:yVal>
            <c:numRef>
              <c:f>Foglio1!$E$26:$E$27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309-43AF-96AA-9CCB0AA3C69B}"/>
            </c:ext>
          </c:extLst>
        </c:ser>
        <c:ser>
          <c:idx val="7"/>
          <c:order val="6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Foglio1!$D$28:$D$29</c:f>
              <c:numCache>
                <c:formatCode>0.000</c:formatCode>
                <c:ptCount val="2"/>
              </c:numCache>
            </c:numRef>
          </c:xVal>
          <c:yVal>
            <c:numRef>
              <c:f>Foglio1!$E$28:$E$29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309-43AF-96AA-9CCB0AA3C69B}"/>
            </c:ext>
          </c:extLst>
        </c:ser>
        <c:ser>
          <c:idx val="8"/>
          <c:order val="7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Foglio1!$D$30:$D$31</c:f>
              <c:numCache>
                <c:formatCode>0.000</c:formatCode>
                <c:ptCount val="2"/>
              </c:numCache>
            </c:numRef>
          </c:xVal>
          <c:yVal>
            <c:numRef>
              <c:f>Foglio1!$E$30:$E$31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309-43AF-96AA-9CCB0AA3C69B}"/>
            </c:ext>
          </c:extLst>
        </c:ser>
        <c:ser>
          <c:idx val="9"/>
          <c:order val="8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Foglio1!$D$32:$D$33</c:f>
              <c:numCache>
                <c:formatCode>0.000</c:formatCode>
                <c:ptCount val="2"/>
              </c:numCache>
            </c:numRef>
          </c:xVal>
          <c:yVal>
            <c:numRef>
              <c:f>Foglio1!$E$32:$E$33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309-43AF-96AA-9CCB0AA3C69B}"/>
            </c:ext>
          </c:extLst>
        </c:ser>
        <c:ser>
          <c:idx val="10"/>
          <c:order val="9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Foglio1!$D$34:$D$35</c:f>
              <c:numCache>
                <c:formatCode>0.000</c:formatCode>
                <c:ptCount val="2"/>
              </c:numCache>
            </c:numRef>
          </c:xVal>
          <c:yVal>
            <c:numRef>
              <c:f>Foglio1!$E$34:$E$35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309-43AF-96AA-9CCB0AA3C69B}"/>
            </c:ext>
          </c:extLst>
        </c:ser>
        <c:ser>
          <c:idx val="11"/>
          <c:order val="1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Foglio1!$D$36:$D$37</c:f>
              <c:numCache>
                <c:formatCode>0.000</c:formatCode>
                <c:ptCount val="2"/>
              </c:numCache>
            </c:numRef>
          </c:xVal>
          <c:yVal>
            <c:numRef>
              <c:f>Foglio1!$E$36:$E$37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309-43AF-96AA-9CCB0AA3C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92592"/>
        <c:axId val="1"/>
      </c:scatterChart>
      <c:valAx>
        <c:axId val="407192592"/>
        <c:scaling>
          <c:logBase val="10"/>
          <c:orientation val="minMax"/>
          <c:max val="100"/>
          <c:min val="1E-3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407192592"/>
        <c:crossesAt val="1E-3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>
      <c:oddHeader>&amp;F</c:oddHeader>
      <c:oddFooter>Pagina &amp;P</c:oddFooter>
    </c:headerFooter>
    <c:pageMargins b="1" l="0.75" r="0.75" t="1" header="0.5" footer="0.5"/>
    <c:pageSetup paperSize="9" orientation="landscape" horizontalDpi="300" verticalDpi="300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11</xdr:row>
      <xdr:rowOff>161192</xdr:rowOff>
    </xdr:from>
    <xdr:to>
      <xdr:col>49</xdr:col>
      <xdr:colOff>120817</xdr:colOff>
      <xdr:row>38</xdr:row>
      <xdr:rowOff>142875</xdr:rowOff>
    </xdr:to>
    <xdr:graphicFrame macro="">
      <xdr:nvGraphicFramePr>
        <xdr:cNvPr id="1619" name="Chart 1">
          <a:extLst>
            <a:ext uri="{FF2B5EF4-FFF2-40B4-BE49-F238E27FC236}">
              <a16:creationId xmlns:a16="http://schemas.microsoft.com/office/drawing/2014/main" id="{6FFC10BB-FDC1-34F7-96FD-E5B5BE32BB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0.01629</cdr:x>
      <cdr:y>0.23479</cdr:y>
    </cdr:from>
    <cdr:to>
      <cdr:x>0.02763</cdr:x>
      <cdr:y>1</cdr:y>
    </cdr:to>
    <cdr:sp macro="" textlink="">
      <cdr:nvSpPr>
        <cdr:cNvPr id="2049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030" y="1012842"/>
          <a:ext cx="104409" cy="33009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PASSANTE</a:t>
          </a:r>
        </a:p>
        <a:p xmlns:a="http://schemas.openxmlformats.org/drawingml/2006/main">
          <a:pPr algn="l" rtl="0">
            <a:lnSpc>
              <a:spcPts val="800"/>
            </a:lnSpc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lnSpc>
              <a:spcPts val="700"/>
            </a:lnSpc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  <cdr:relSizeAnchor xmlns:cdr="http://schemas.openxmlformats.org/drawingml/2006/chartDrawing">
    <cdr:from>
      <cdr:x>0.86437</cdr:x>
      <cdr:y>0.93204</cdr:y>
    </cdr:from>
    <cdr:to>
      <cdr:x>0.899</cdr:x>
      <cdr:y>0.95967</cdr:y>
    </cdr:to>
    <cdr:sp macro="" textlink="">
      <cdr:nvSpPr>
        <cdr:cNvPr id="2050" name="Testo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58408" y="4020646"/>
          <a:ext cx="318844" cy="11919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mm</a:t>
          </a:r>
        </a:p>
      </cdr:txBody>
    </cdr:sp>
  </cdr:relSizeAnchor>
  <cdr:relSizeAnchor xmlns:cdr="http://schemas.openxmlformats.org/drawingml/2006/chartDrawing">
    <cdr:from>
      <cdr:x>0.97933</cdr:x>
      <cdr:y>0.17263</cdr:y>
    </cdr:from>
    <cdr:to>
      <cdr:x>0.98247</cdr:x>
      <cdr:y>0.93784</cdr:y>
    </cdr:to>
    <cdr:sp macro="" textlink="">
      <cdr:nvSpPr>
        <cdr:cNvPr id="2051" name="Testo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889783" y="869876"/>
          <a:ext cx="101818" cy="26480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TRATTENUTO</a:t>
          </a:r>
        </a:p>
        <a:p xmlns:a="http://schemas.openxmlformats.org/drawingml/2006/main">
          <a:pPr algn="l" rtl="0">
            <a:defRPr sz="1000"/>
          </a:pPr>
          <a:endParaRPr lang="it-IT" sz="750" b="0" i="0" u="none" strike="noStrike" baseline="0">
            <a:solidFill>
              <a:srgbClr val="000000"/>
            </a:solidFill>
            <a:latin typeface="Arial"/>
            <a:cs typeface="Arial"/>
          </a:endParaRPr>
        </a:p>
        <a:p xmlns:a="http://schemas.openxmlformats.org/drawingml/2006/main">
          <a:pPr algn="l" rtl="0">
            <a:defRPr sz="1000"/>
          </a:pPr>
          <a:r>
            <a:rPr lang="it-IT" sz="750" b="0" i="0" u="none" strike="noStrike" baseline="0">
              <a:solidFill>
                <a:srgbClr val="000000"/>
              </a:solidFill>
              <a:latin typeface="Arial"/>
              <a:cs typeface="Arial"/>
            </a:rPr>
            <a:t>%</a:t>
          </a:r>
        </a:p>
      </cdr:txBody>
    </cdr:sp>
  </cdr:relSizeAnchor>
</c:userShape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"/>
  <sheetViews>
    <sheetView tabSelected="1" topLeftCell="A2" zoomScaleNormal="100" workbookViewId="0">
      <selection activeCell="BG14" sqref="BG14"/>
    </sheetView>
  </sheetViews>
  <sheetFormatPr defaultRowHeight="12.75" x14ac:dyDescent="0.2"/>
  <cols>
    <col min="1" max="5" width="2.7109375" customWidth="1"/>
    <col min="6" max="6" width="3" customWidth="1"/>
    <col min="7" max="7" width="4.28515625" customWidth="1"/>
    <col min="8" max="8" width="1.5703125" customWidth="1"/>
    <col min="9" max="9" width="2.7109375" customWidth="1"/>
    <col min="10" max="10" width="2.140625" customWidth="1"/>
    <col min="11" max="11" width="2.7109375" customWidth="1"/>
    <col min="12" max="12" width="3" customWidth="1"/>
    <col min="13" max="13" width="3.42578125" customWidth="1"/>
    <col min="14" max="16" width="2.7109375" customWidth="1"/>
    <col min="17" max="17" width="2.28515625" customWidth="1"/>
    <col min="18" max="18" width="1.7109375" customWidth="1"/>
    <col min="19" max="19" width="2" customWidth="1"/>
    <col min="20" max="22" width="2.7109375" customWidth="1"/>
    <col min="23" max="23" width="2.7109375" style="5" customWidth="1"/>
    <col min="24" max="24" width="1.42578125" style="5" customWidth="1"/>
    <col min="25" max="29" width="2.7109375" style="5" customWidth="1"/>
    <col min="30" max="30" width="2" style="5" customWidth="1"/>
    <col min="31" max="31" width="2.140625" style="5" customWidth="1"/>
    <col min="32" max="32" width="2.7109375" style="5" customWidth="1"/>
    <col min="33" max="33" width="3.28515625" style="5" customWidth="1"/>
    <col min="34" max="36" width="2.7109375" style="5" customWidth="1"/>
    <col min="37" max="37" width="3.140625" customWidth="1"/>
    <col min="38" max="41" width="2.7109375" customWidth="1"/>
    <col min="42" max="42" width="1.5703125" customWidth="1"/>
    <col min="43" max="44" width="2.7109375" style="5" customWidth="1"/>
    <col min="45" max="45" width="3.5703125" style="5" customWidth="1"/>
    <col min="46" max="46" width="2.28515625" style="5" customWidth="1"/>
    <col min="47" max="50" width="2.7109375" style="5" customWidth="1"/>
    <col min="51" max="51" width="2" style="5" customWidth="1"/>
  </cols>
  <sheetData>
    <row r="1" spans="1:50" ht="12.95" customHeight="1" x14ac:dyDescent="0.2">
      <c r="A1" s="35" t="s">
        <v>46</v>
      </c>
      <c r="Q1" s="5"/>
      <c r="R1" s="5"/>
      <c r="S1" s="5"/>
      <c r="T1" s="5"/>
      <c r="U1" s="5"/>
      <c r="V1" s="5"/>
      <c r="AM1" s="13"/>
      <c r="AN1" s="13"/>
      <c r="AO1" s="198" t="s">
        <v>35</v>
      </c>
      <c r="AP1" s="226"/>
      <c r="AQ1" s="226"/>
      <c r="AR1" s="226"/>
      <c r="AS1" s="226"/>
      <c r="AT1" s="226"/>
      <c r="AU1" s="226"/>
      <c r="AV1" s="226"/>
      <c r="AW1" s="226"/>
    </row>
    <row r="2" spans="1:50" ht="17.100000000000001" customHeight="1" x14ac:dyDescent="0.2">
      <c r="A2" s="195" t="str">
        <f>Foglio2!A2</f>
        <v>VERBALE ACCETTAZIONE NR: 40/02.04.2026</v>
      </c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224"/>
      <c r="N2" s="224"/>
      <c r="O2" s="224"/>
      <c r="Q2" s="5"/>
      <c r="R2" s="5"/>
      <c r="S2" s="5"/>
      <c r="T2" s="5"/>
      <c r="U2" s="5"/>
      <c r="V2" s="5"/>
      <c r="W2" s="85"/>
      <c r="X2" s="55"/>
      <c r="Y2" s="55"/>
      <c r="Z2" s="16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13"/>
      <c r="AN2" s="13"/>
      <c r="AO2" s="226"/>
      <c r="AP2" s="226"/>
      <c r="AQ2" s="226"/>
      <c r="AR2" s="226"/>
      <c r="AS2" s="226"/>
      <c r="AT2" s="226"/>
      <c r="AU2" s="226"/>
      <c r="AV2" s="226"/>
      <c r="AW2" s="226"/>
    </row>
    <row r="3" spans="1:50" ht="18" x14ac:dyDescent="0.2">
      <c r="A3" s="57" t="s">
        <v>48</v>
      </c>
      <c r="B3" s="33"/>
      <c r="C3" s="37"/>
      <c r="D3" s="37"/>
      <c r="E3" s="23"/>
      <c r="F3" s="23"/>
      <c r="G3" s="23"/>
      <c r="H3" s="23"/>
      <c r="I3" s="19"/>
      <c r="J3" s="19"/>
      <c r="K3" s="19"/>
      <c r="L3" s="19"/>
      <c r="M3" s="19"/>
      <c r="N3" s="19"/>
      <c r="O3" s="19"/>
      <c r="P3" s="19"/>
      <c r="Q3" s="24"/>
      <c r="R3" s="24"/>
      <c r="S3" s="24"/>
      <c r="T3" s="24"/>
      <c r="U3" s="24"/>
      <c r="V3" s="24"/>
      <c r="W3" s="27"/>
      <c r="X3" s="55"/>
      <c r="Y3" s="55"/>
      <c r="Z3" s="137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24"/>
      <c r="AO3" s="24"/>
      <c r="AP3" s="19"/>
      <c r="AQ3" s="23"/>
      <c r="AS3" s="1"/>
      <c r="AU3" s="19"/>
      <c r="AV3" s="19"/>
      <c r="AX3" s="86" t="s">
        <v>50</v>
      </c>
    </row>
    <row r="4" spans="1:50" ht="18" x14ac:dyDescent="0.2">
      <c r="A4" s="36" t="s">
        <v>47</v>
      </c>
      <c r="B4" s="33"/>
      <c r="C4" s="37"/>
      <c r="D4" s="37"/>
      <c r="E4" s="23"/>
      <c r="F4" s="23"/>
      <c r="G4" s="23"/>
      <c r="H4" s="23"/>
      <c r="I4" s="19"/>
      <c r="J4" s="19"/>
      <c r="K4" s="19"/>
      <c r="L4" s="19"/>
      <c r="M4" s="24"/>
      <c r="N4" s="19"/>
      <c r="O4" s="19"/>
      <c r="P4" s="19"/>
      <c r="Q4" s="24"/>
      <c r="R4" s="24"/>
      <c r="S4" s="24"/>
      <c r="T4" s="24"/>
      <c r="U4" s="24"/>
      <c r="V4" s="24"/>
      <c r="W4" s="19"/>
      <c r="X4" s="19"/>
      <c r="Y4" s="19"/>
      <c r="AA4" s="164"/>
      <c r="AB4" s="164"/>
      <c r="AC4" s="164"/>
      <c r="AD4" s="164"/>
      <c r="AE4" s="164"/>
      <c r="AF4" s="164"/>
      <c r="AG4" s="164"/>
      <c r="AH4" s="164"/>
      <c r="AI4" s="23"/>
      <c r="AJ4" s="23"/>
      <c r="AK4" s="23"/>
      <c r="AL4" s="23"/>
      <c r="AM4" s="23"/>
      <c r="AN4" s="24"/>
      <c r="AO4" s="24"/>
      <c r="AP4" s="15"/>
      <c r="AQ4" s="15"/>
      <c r="AR4" s="18"/>
      <c r="AS4" s="87" t="s">
        <v>51</v>
      </c>
      <c r="AT4" s="58"/>
      <c r="AU4" s="19"/>
      <c r="AV4" s="19"/>
    </row>
    <row r="5" spans="1:50" ht="17.25" customHeight="1" x14ac:dyDescent="0.2">
      <c r="A5" s="16" t="str">
        <f>Foglio2!A10</f>
        <v xml:space="preserve">AUFTRAGGEBER/COMMITT.: </v>
      </c>
      <c r="B5" s="16"/>
      <c r="C5" s="27"/>
      <c r="D5" s="28"/>
      <c r="E5" s="24"/>
      <c r="F5" s="15"/>
      <c r="G5" s="24"/>
      <c r="H5" s="19"/>
      <c r="I5" s="24"/>
      <c r="J5" s="24"/>
      <c r="L5" s="97" t="str">
        <f>Foglio2!D10</f>
        <v>Rainerbau</v>
      </c>
      <c r="N5" s="24"/>
      <c r="O5" s="30"/>
      <c r="P5" s="30"/>
      <c r="Q5" s="30"/>
      <c r="R5" s="30"/>
      <c r="S5" s="30"/>
      <c r="T5" s="30"/>
      <c r="U5" s="19"/>
      <c r="V5" s="19"/>
      <c r="W5" s="19"/>
      <c r="X5" s="19"/>
      <c r="Y5" s="24"/>
      <c r="Z5" s="19"/>
      <c r="AH5" s="23" t="str">
        <f>Foglio2!A14</f>
        <v xml:space="preserve">BOHRUNG/SONDAGGIO: </v>
      </c>
      <c r="AI5"/>
      <c r="AK5" s="5"/>
      <c r="AP5" s="5"/>
      <c r="AQ5"/>
      <c r="AR5" s="163"/>
      <c r="AS5" s="32"/>
      <c r="AT5" s="32"/>
      <c r="AU5" s="32"/>
      <c r="AV5" s="32"/>
      <c r="AW5" s="32"/>
      <c r="AX5" s="32"/>
    </row>
    <row r="6" spans="1:50" ht="17.25" customHeight="1" x14ac:dyDescent="0.2">
      <c r="A6" s="23" t="str">
        <f>Foglio2!A11</f>
        <v xml:space="preserve">BEZUG/RIF.: </v>
      </c>
      <c r="B6" s="16"/>
      <c r="C6" s="27"/>
      <c r="D6" s="28"/>
      <c r="E6" s="24"/>
      <c r="F6" s="27"/>
      <c r="G6" s="19"/>
      <c r="H6" s="19"/>
      <c r="I6" s="24"/>
      <c r="J6" s="24"/>
      <c r="L6" s="30" t="str">
        <f>Foglio2!D11</f>
        <v>Dr. Ing. C. Staggl</v>
      </c>
      <c r="N6" s="24"/>
      <c r="O6" s="30"/>
      <c r="P6" s="30"/>
      <c r="Q6" s="30"/>
      <c r="R6" s="30"/>
      <c r="S6" s="30"/>
      <c r="T6" s="30"/>
      <c r="U6" s="19"/>
      <c r="V6" s="19"/>
      <c r="W6" s="19"/>
      <c r="X6" s="19"/>
      <c r="Y6" s="24"/>
      <c r="Z6" s="19"/>
      <c r="AH6" s="23" t="str">
        <f>Foglio2!A15</f>
        <v>PROBE/CAMP.:</v>
      </c>
      <c r="AI6"/>
      <c r="AK6" s="5"/>
      <c r="AM6" s="5"/>
      <c r="AP6" s="5"/>
      <c r="AQ6"/>
      <c r="AR6" s="166">
        <f>Foglio2!D15</f>
        <v>1</v>
      </c>
      <c r="AS6" s="32"/>
      <c r="AT6" s="32"/>
      <c r="AU6" s="32"/>
      <c r="AV6" s="32"/>
      <c r="AW6" s="32"/>
      <c r="AX6" s="32"/>
    </row>
    <row r="7" spans="1:50" ht="15.75" x14ac:dyDescent="0.2">
      <c r="A7" s="16" t="str">
        <f>Foglio2!A12</f>
        <v>ORT/LOCALITA':</v>
      </c>
      <c r="B7" s="24"/>
      <c r="C7" s="24"/>
      <c r="D7" s="24"/>
      <c r="E7" s="24"/>
      <c r="F7" s="24"/>
      <c r="G7" s="24"/>
      <c r="H7" s="24"/>
      <c r="I7" s="24"/>
      <c r="J7" s="24"/>
      <c r="L7" s="174" t="str">
        <f>Foglio2!D12</f>
        <v>Comune di Valle Aurina (BZ)</v>
      </c>
      <c r="N7" s="24"/>
      <c r="O7" s="24"/>
      <c r="P7" s="24"/>
      <c r="Q7" s="24"/>
      <c r="R7" s="24"/>
      <c r="S7" s="24"/>
      <c r="T7" s="24"/>
      <c r="U7" s="24"/>
      <c r="V7" s="24"/>
      <c r="W7" s="19"/>
      <c r="X7" s="19"/>
      <c r="Y7" s="19"/>
      <c r="Z7" s="19"/>
      <c r="AH7" s="23" t="str">
        <f>Foglio2!A16</f>
        <v xml:space="preserve">TIEFE/PROF. m: </v>
      </c>
      <c r="AK7" s="5"/>
      <c r="AL7" s="5"/>
      <c r="AM7" s="5"/>
      <c r="AP7" s="5"/>
      <c r="AQ7"/>
      <c r="AR7" s="173" t="str">
        <f>Foglio2!D16</f>
        <v>\</v>
      </c>
      <c r="AS7" s="167"/>
      <c r="AT7" s="167"/>
      <c r="AU7" s="167"/>
      <c r="AV7" s="167"/>
      <c r="AW7" s="134"/>
    </row>
    <row r="8" spans="1:50" ht="15" customHeight="1" x14ac:dyDescent="0.2">
      <c r="A8" s="16" t="str">
        <f>Foglio2!A13</f>
        <v>PROJEKT/PROG.:</v>
      </c>
      <c r="B8" s="31"/>
      <c r="C8" s="19"/>
      <c r="D8" s="19"/>
      <c r="E8" s="19"/>
      <c r="F8" s="19"/>
      <c r="G8" s="19"/>
      <c r="I8" s="19"/>
      <c r="J8" s="29"/>
      <c r="L8" s="179" t="str">
        <f>Foglio2!D13</f>
        <v>Ampliamento della pista ciclabile, tratto B. incrocio via Gföllberg fino incrocio Jahrlboden</v>
      </c>
      <c r="M8" s="112"/>
      <c r="N8" s="112"/>
      <c r="O8" s="88"/>
      <c r="P8" s="88"/>
      <c r="Q8" s="88"/>
      <c r="R8" s="24"/>
      <c r="S8" s="24"/>
      <c r="T8" s="24"/>
      <c r="U8" s="24"/>
      <c r="V8" s="24"/>
      <c r="W8" s="19"/>
      <c r="X8" s="19"/>
      <c r="Y8" s="19"/>
      <c r="Z8" s="19"/>
      <c r="AA8" s="23"/>
      <c r="AB8" s="33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04"/>
      <c r="AX8" s="104"/>
    </row>
    <row r="9" spans="1:50" ht="15.75" x14ac:dyDescent="0.2">
      <c r="A9" s="23" t="str">
        <f>Foglio2!A17</f>
        <v>BESCHREIBUNG/DESCRIZIONE:</v>
      </c>
      <c r="B9" s="35"/>
      <c r="C9" s="35"/>
      <c r="D9" s="35"/>
      <c r="E9" s="35"/>
      <c r="F9" s="35"/>
      <c r="G9" s="19"/>
      <c r="H9" s="15"/>
      <c r="I9" s="19"/>
      <c r="J9" s="19"/>
      <c r="L9" s="172" t="str">
        <f>Foglio2!D17</f>
        <v>sabbia limosa di colore bianco, con ghiaia spigolosa (marmo di Racines).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34"/>
      <c r="Z9" s="19"/>
      <c r="AA9" s="32"/>
      <c r="AB9" s="19"/>
      <c r="AC9" s="34"/>
      <c r="AD9" s="34"/>
      <c r="AE9" s="34"/>
      <c r="AF9" s="19"/>
      <c r="AG9" s="19"/>
      <c r="AH9" s="34"/>
      <c r="AI9" s="32"/>
      <c r="AJ9" s="34"/>
      <c r="AK9" s="34"/>
      <c r="AL9" s="34"/>
      <c r="AM9" s="34"/>
      <c r="AN9" s="32"/>
      <c r="AO9" s="103"/>
      <c r="AP9" s="103"/>
      <c r="AQ9" s="103"/>
      <c r="AR9" s="103"/>
      <c r="AS9" s="103"/>
      <c r="AT9" s="103"/>
      <c r="AU9" s="103"/>
      <c r="AV9" s="103"/>
      <c r="AW9" s="101"/>
      <c r="AX9" s="102"/>
    </row>
    <row r="10" spans="1:50" x14ac:dyDescent="0.2">
      <c r="A10" s="225" t="s">
        <v>4</v>
      </c>
      <c r="B10" s="229"/>
      <c r="C10" s="229"/>
      <c r="D10" s="229"/>
      <c r="E10" s="229"/>
      <c r="F10" s="230"/>
      <c r="G10" s="216" t="s">
        <v>5</v>
      </c>
      <c r="H10" s="220"/>
      <c r="I10" s="220"/>
      <c r="J10" s="220"/>
      <c r="K10" s="220"/>
      <c r="L10" s="220"/>
      <c r="M10" s="220"/>
      <c r="N10" s="220"/>
      <c r="O10" s="220"/>
      <c r="P10" s="220"/>
      <c r="Q10" s="220"/>
      <c r="R10" s="220"/>
      <c r="S10" s="221"/>
      <c r="T10" s="219" t="s">
        <v>6</v>
      </c>
      <c r="U10" s="220"/>
      <c r="V10" s="220"/>
      <c r="W10" s="220"/>
      <c r="X10" s="220"/>
      <c r="Y10" s="220"/>
      <c r="Z10" s="220"/>
      <c r="AA10" s="220"/>
      <c r="AB10" s="220"/>
      <c r="AC10" s="220"/>
      <c r="AD10" s="220"/>
      <c r="AE10" s="220"/>
      <c r="AF10" s="220"/>
      <c r="AG10" s="221"/>
      <c r="AH10" s="216" t="s">
        <v>7</v>
      </c>
      <c r="AI10" s="220"/>
      <c r="AJ10" s="220"/>
      <c r="AK10" s="220"/>
      <c r="AL10" s="220"/>
      <c r="AM10" s="220"/>
      <c r="AN10" s="220"/>
      <c r="AO10" s="220"/>
      <c r="AP10" s="220"/>
      <c r="AQ10" s="220"/>
      <c r="AR10" s="220"/>
      <c r="AS10" s="220"/>
      <c r="AT10" s="221"/>
      <c r="AU10" s="216" t="s">
        <v>8</v>
      </c>
      <c r="AV10" s="227"/>
      <c r="AW10" s="227"/>
      <c r="AX10" s="228"/>
    </row>
    <row r="11" spans="1:50" x14ac:dyDescent="0.2">
      <c r="A11" s="49"/>
      <c r="B11" s="50"/>
      <c r="C11" s="51"/>
      <c r="D11" s="46"/>
      <c r="E11" s="46"/>
      <c r="F11" s="47"/>
      <c r="G11" s="225" t="s">
        <v>9</v>
      </c>
      <c r="H11" s="220"/>
      <c r="I11" s="220"/>
      <c r="J11" s="221"/>
      <c r="K11" s="216" t="s">
        <v>10</v>
      </c>
      <c r="L11" s="220"/>
      <c r="M11" s="220"/>
      <c r="N11" s="220"/>
      <c r="O11" s="219" t="s">
        <v>11</v>
      </c>
      <c r="P11" s="220"/>
      <c r="Q11" s="220"/>
      <c r="R11" s="220"/>
      <c r="S11" s="221"/>
      <c r="T11" s="219" t="s">
        <v>9</v>
      </c>
      <c r="U11" s="220"/>
      <c r="V11" s="220"/>
      <c r="W11" s="220"/>
      <c r="X11" s="221"/>
      <c r="Y11" s="219" t="s">
        <v>10</v>
      </c>
      <c r="Z11" s="222"/>
      <c r="AA11" s="222"/>
      <c r="AB11" s="222"/>
      <c r="AC11" s="216" t="s">
        <v>11</v>
      </c>
      <c r="AD11" s="222"/>
      <c r="AE11" s="222"/>
      <c r="AF11" s="222"/>
      <c r="AG11" s="223"/>
      <c r="AH11" s="216" t="s">
        <v>9</v>
      </c>
      <c r="AI11" s="220"/>
      <c r="AJ11" s="220"/>
      <c r="AK11" s="221"/>
      <c r="AL11" s="216" t="s">
        <v>10</v>
      </c>
      <c r="AM11" s="217"/>
      <c r="AN11" s="217"/>
      <c r="AO11" s="217"/>
      <c r="AP11" s="218"/>
      <c r="AQ11" s="216" t="s">
        <v>11</v>
      </c>
      <c r="AR11" s="222"/>
      <c r="AS11" s="222"/>
      <c r="AT11" s="223"/>
      <c r="AU11" s="54"/>
      <c r="AV11" s="52"/>
      <c r="AW11" s="52"/>
      <c r="AX11" s="53"/>
    </row>
    <row r="12" spans="1:50" x14ac:dyDescent="0.2">
      <c r="A12" s="6"/>
      <c r="B12" s="5"/>
      <c r="C12" s="7"/>
      <c r="D12" s="8"/>
      <c r="E12" s="5"/>
      <c r="F12" s="207" t="s">
        <v>15</v>
      </c>
      <c r="G12" s="207"/>
      <c r="H12" s="12"/>
      <c r="I12" s="5"/>
      <c r="J12" s="207" t="s">
        <v>16</v>
      </c>
      <c r="K12" s="207"/>
      <c r="L12" s="8"/>
      <c r="M12" s="5"/>
      <c r="N12" s="5"/>
      <c r="O12" s="170"/>
      <c r="P12" s="5"/>
      <c r="Q12" s="5"/>
      <c r="R12" s="5"/>
      <c r="S12" s="210">
        <v>0.06</v>
      </c>
      <c r="T12" s="196"/>
      <c r="U12" s="5"/>
      <c r="V12" s="5"/>
      <c r="X12" s="213" t="s">
        <v>17</v>
      </c>
      <c r="Y12" s="214"/>
      <c r="AC12" s="169"/>
      <c r="AD12" s="9"/>
      <c r="AG12" s="207">
        <v>2</v>
      </c>
      <c r="AH12" s="207"/>
      <c r="AK12" s="207">
        <v>6</v>
      </c>
      <c r="AL12" s="207"/>
      <c r="AM12" s="9"/>
      <c r="AN12" s="5"/>
      <c r="AO12" s="5"/>
      <c r="AP12" s="215">
        <v>20</v>
      </c>
      <c r="AQ12" s="215"/>
      <c r="AT12" s="215">
        <v>60</v>
      </c>
      <c r="AU12" s="207"/>
    </row>
    <row r="13" spans="1:50" x14ac:dyDescent="0.2">
      <c r="N13" s="5"/>
      <c r="O13" s="5"/>
      <c r="P13" s="5"/>
    </row>
    <row r="14" spans="1:50" x14ac:dyDescent="0.2">
      <c r="A14" s="6"/>
      <c r="B14" s="6"/>
      <c r="C14" s="7"/>
      <c r="D14" s="7"/>
      <c r="E14" s="10"/>
      <c r="F14" s="6"/>
      <c r="G14" s="6"/>
      <c r="H14" s="6"/>
      <c r="I14" s="5"/>
      <c r="J14" s="5"/>
      <c r="K14" s="5"/>
      <c r="L14" s="5"/>
      <c r="M14" s="5"/>
      <c r="N14" s="5"/>
      <c r="O14" s="5"/>
      <c r="P14" s="5"/>
    </row>
    <row r="15" spans="1:50" x14ac:dyDescent="0.2">
      <c r="A15" s="6"/>
      <c r="B15" s="6"/>
      <c r="C15" s="7"/>
      <c r="D15" s="7"/>
      <c r="E15" s="10"/>
      <c r="F15" s="6"/>
      <c r="G15" s="6"/>
      <c r="H15" s="6"/>
      <c r="I15" s="5"/>
      <c r="J15" s="5"/>
      <c r="K15" s="5"/>
      <c r="L15" s="5"/>
      <c r="M15" s="5"/>
      <c r="N15" s="5"/>
      <c r="O15" s="5"/>
      <c r="P15" s="5"/>
    </row>
    <row r="16" spans="1:50" x14ac:dyDescent="0.2">
      <c r="A16" s="6"/>
      <c r="B16" s="6"/>
      <c r="C16" s="7"/>
      <c r="D16" s="7"/>
      <c r="E16" s="10"/>
      <c r="F16" s="6"/>
      <c r="G16" s="6"/>
      <c r="H16" s="6"/>
      <c r="I16" s="5"/>
      <c r="J16" s="5"/>
      <c r="K16" s="5"/>
      <c r="L16" s="5"/>
      <c r="M16" s="5"/>
      <c r="N16" s="5"/>
      <c r="O16" s="5"/>
      <c r="P16" s="5"/>
    </row>
    <row r="17" spans="1:16" x14ac:dyDescent="0.2">
      <c r="A17" s="6"/>
      <c r="B17" s="6"/>
      <c r="C17" s="7"/>
      <c r="D17" s="7"/>
      <c r="E17" s="10"/>
      <c r="F17" s="6"/>
      <c r="G17" s="6"/>
      <c r="H17" s="6"/>
      <c r="I17" s="5"/>
      <c r="J17" s="5"/>
      <c r="K17" s="5"/>
      <c r="L17" s="5"/>
      <c r="M17" s="5"/>
      <c r="N17" s="5"/>
      <c r="O17" s="5"/>
      <c r="P17" s="5"/>
    </row>
    <row r="18" spans="1:16" x14ac:dyDescent="0.2">
      <c r="A18" s="6"/>
      <c r="B18" s="6"/>
      <c r="C18" s="7"/>
      <c r="D18" s="11"/>
      <c r="E18" s="10"/>
      <c r="F18" s="6"/>
      <c r="G18" s="6"/>
      <c r="I18" s="5"/>
      <c r="J18" s="5"/>
      <c r="K18" s="5"/>
      <c r="L18" s="5"/>
      <c r="M18" s="5"/>
      <c r="N18" s="5"/>
      <c r="O18" s="5"/>
      <c r="P18" s="5"/>
    </row>
    <row r="19" spans="1:16" x14ac:dyDescent="0.2">
      <c r="A19" s="6"/>
      <c r="B19" s="6"/>
      <c r="C19" s="7"/>
      <c r="D19" s="11"/>
      <c r="E19" s="10"/>
      <c r="F19" s="6"/>
      <c r="G19" s="6"/>
      <c r="H19" s="6"/>
      <c r="I19" s="5"/>
      <c r="J19" s="5"/>
      <c r="K19" s="5"/>
      <c r="L19" s="5"/>
      <c r="M19" s="5"/>
      <c r="N19" s="5"/>
      <c r="O19" s="5"/>
      <c r="P19" s="5"/>
    </row>
    <row r="20" spans="1:16" x14ac:dyDescent="0.2">
      <c r="A20" s="6"/>
      <c r="B20" s="6"/>
      <c r="C20" s="7"/>
      <c r="D20" s="11"/>
      <c r="E20" s="10"/>
      <c r="F20" s="6"/>
      <c r="G20" s="6"/>
      <c r="H20" s="6"/>
      <c r="I20" s="5"/>
      <c r="J20" s="5"/>
      <c r="K20" s="5"/>
      <c r="L20" s="5"/>
      <c r="M20" s="5"/>
      <c r="N20" s="5"/>
      <c r="O20" s="5"/>
      <c r="P20" s="5"/>
    </row>
    <row r="21" spans="1:16" x14ac:dyDescent="0.2">
      <c r="A21" s="6"/>
      <c r="B21" s="6"/>
      <c r="C21" s="7"/>
      <c r="D21" s="11"/>
      <c r="E21" s="10"/>
      <c r="F21" s="6"/>
      <c r="G21" s="6"/>
      <c r="H21" s="6"/>
      <c r="I21" s="5"/>
      <c r="J21" s="5"/>
      <c r="K21" s="5"/>
      <c r="L21" s="5"/>
      <c r="M21" s="5"/>
      <c r="N21" s="5"/>
      <c r="O21" s="5"/>
      <c r="P21" s="5"/>
    </row>
    <row r="22" spans="1:16" x14ac:dyDescent="0.2">
      <c r="A22" s="6"/>
      <c r="B22" s="6"/>
      <c r="C22" s="7"/>
      <c r="D22" s="11"/>
      <c r="E22" s="10"/>
      <c r="F22" s="6"/>
      <c r="G22" s="6"/>
      <c r="H22" s="6"/>
      <c r="I22" s="5"/>
      <c r="J22" s="5"/>
      <c r="K22" s="5"/>
      <c r="L22" s="5"/>
      <c r="M22" s="5"/>
      <c r="N22" s="5"/>
      <c r="O22" s="5"/>
      <c r="P22" s="5"/>
    </row>
    <row r="23" spans="1:16" x14ac:dyDescent="0.2">
      <c r="A23" s="6"/>
      <c r="B23" s="6"/>
      <c r="C23" s="7"/>
      <c r="D23" s="11"/>
      <c r="E23" s="10"/>
      <c r="F23" s="6"/>
      <c r="G23" s="6"/>
      <c r="H23" s="6"/>
      <c r="I23" s="5"/>
      <c r="J23" s="5"/>
      <c r="K23" s="5"/>
      <c r="L23" s="5"/>
      <c r="M23" s="5"/>
      <c r="N23" s="5"/>
      <c r="O23" s="5"/>
      <c r="P23" s="5"/>
    </row>
    <row r="24" spans="1:16" x14ac:dyDescent="0.2">
      <c r="A24" s="6"/>
      <c r="B24" s="6"/>
      <c r="C24" s="7"/>
      <c r="D24" s="11"/>
      <c r="E24" s="10"/>
      <c r="F24" s="6"/>
      <c r="G24" s="6"/>
      <c r="H24" s="6"/>
      <c r="I24" s="5"/>
      <c r="J24" s="5"/>
      <c r="K24" s="5"/>
      <c r="L24" s="5"/>
      <c r="M24" s="5"/>
      <c r="N24" s="5"/>
      <c r="O24" s="5"/>
      <c r="P24" s="5"/>
    </row>
    <row r="25" spans="1:16" x14ac:dyDescent="0.2">
      <c r="A25" s="6"/>
      <c r="B25" s="6"/>
      <c r="C25" s="7"/>
      <c r="D25" s="11"/>
      <c r="E25" s="10"/>
      <c r="F25" s="6"/>
      <c r="G25" s="6"/>
      <c r="H25" s="6"/>
      <c r="I25" s="5"/>
      <c r="J25" s="5"/>
      <c r="K25" s="5"/>
      <c r="L25" s="5"/>
      <c r="M25" s="5"/>
      <c r="N25" s="5"/>
      <c r="O25" s="5"/>
      <c r="P25" s="5"/>
    </row>
    <row r="26" spans="1:16" x14ac:dyDescent="0.2">
      <c r="A26" s="6"/>
      <c r="B26" s="6"/>
      <c r="C26" s="7"/>
      <c r="D26" s="11"/>
      <c r="E26" s="10"/>
      <c r="F26" s="6"/>
      <c r="G26" s="6"/>
      <c r="H26" s="6"/>
      <c r="I26" s="5"/>
      <c r="J26" s="5"/>
      <c r="K26" s="5"/>
      <c r="L26" s="5"/>
      <c r="M26" s="5"/>
      <c r="N26" s="5"/>
      <c r="O26" s="5"/>
      <c r="P26" s="5"/>
    </row>
    <row r="27" spans="1:16" x14ac:dyDescent="0.2">
      <c r="A27" s="6"/>
      <c r="B27" s="6"/>
      <c r="C27" s="7"/>
      <c r="D27" s="11"/>
      <c r="E27" s="10"/>
      <c r="F27" s="6"/>
      <c r="G27" s="6"/>
      <c r="H27" s="6"/>
      <c r="I27" s="5"/>
      <c r="J27" s="5"/>
      <c r="K27" s="5"/>
      <c r="L27" s="5"/>
      <c r="M27" s="5"/>
      <c r="N27" s="5"/>
      <c r="O27" s="5"/>
      <c r="P27" s="5"/>
    </row>
    <row r="28" spans="1:16" x14ac:dyDescent="0.2">
      <c r="A28" s="6"/>
      <c r="B28" s="6"/>
      <c r="C28" s="7"/>
      <c r="D28" s="11"/>
      <c r="E28" s="10"/>
      <c r="F28" s="6"/>
      <c r="G28" s="6"/>
      <c r="H28" s="6"/>
      <c r="I28" s="5"/>
      <c r="J28" s="5"/>
      <c r="K28" s="5"/>
      <c r="L28" s="5"/>
      <c r="M28" s="5"/>
      <c r="N28" s="5"/>
      <c r="O28" s="5"/>
      <c r="P28" s="5"/>
    </row>
    <row r="29" spans="1:16" x14ac:dyDescent="0.2">
      <c r="A29" s="6"/>
      <c r="B29" s="6"/>
      <c r="C29" s="7"/>
      <c r="D29" s="11"/>
      <c r="E29" s="10"/>
      <c r="F29" s="6"/>
      <c r="G29" s="6"/>
      <c r="H29" s="6"/>
      <c r="I29" s="5"/>
      <c r="J29" s="5"/>
      <c r="K29" s="5"/>
      <c r="L29" s="5"/>
      <c r="M29" s="5"/>
      <c r="N29" s="5"/>
      <c r="O29" s="5"/>
      <c r="P29" s="5"/>
    </row>
    <row r="30" spans="1:16" x14ac:dyDescent="0.2">
      <c r="A30" s="6"/>
      <c r="B30" s="6"/>
      <c r="C30" s="7"/>
      <c r="D30" s="11"/>
      <c r="E30" s="10"/>
      <c r="F30" s="6"/>
      <c r="G30" s="6"/>
      <c r="H30" s="6"/>
      <c r="I30" s="5"/>
      <c r="J30" s="5"/>
      <c r="K30" s="5"/>
      <c r="L30" s="5"/>
      <c r="M30" s="5"/>
      <c r="N30" s="5"/>
      <c r="O30" s="5"/>
      <c r="P30" s="5"/>
    </row>
    <row r="31" spans="1:16" x14ac:dyDescent="0.2">
      <c r="A31" s="6"/>
      <c r="B31" s="6"/>
      <c r="C31" s="7"/>
      <c r="D31" s="11"/>
      <c r="E31" s="10"/>
      <c r="F31" s="6"/>
      <c r="G31" s="6"/>
      <c r="H31" s="6"/>
      <c r="I31" s="5"/>
      <c r="J31" s="5"/>
      <c r="K31" s="5"/>
      <c r="L31" s="5"/>
      <c r="M31" s="5"/>
      <c r="N31" s="5"/>
      <c r="O31" s="5"/>
      <c r="P31" s="5"/>
    </row>
    <row r="32" spans="1:16" x14ac:dyDescent="0.2">
      <c r="A32" s="6"/>
      <c r="B32" s="6"/>
      <c r="C32" s="7"/>
      <c r="D32" s="11"/>
      <c r="E32" s="10"/>
      <c r="F32" s="6"/>
      <c r="G32" s="6"/>
      <c r="H32" s="6"/>
      <c r="I32" s="5"/>
      <c r="J32" s="5"/>
      <c r="K32" s="5"/>
      <c r="L32" s="5"/>
      <c r="M32" s="5"/>
      <c r="N32" s="5"/>
      <c r="O32" s="5"/>
      <c r="P32" s="5"/>
    </row>
    <row r="33" spans="1:46" x14ac:dyDescent="0.2">
      <c r="A33" s="6"/>
      <c r="B33" s="6"/>
      <c r="C33" s="7"/>
      <c r="D33" s="11"/>
      <c r="E33" s="10"/>
      <c r="F33" s="6"/>
      <c r="G33" s="6"/>
      <c r="H33" s="6"/>
      <c r="I33" s="5"/>
      <c r="J33" s="5"/>
      <c r="K33" s="5"/>
      <c r="L33" s="5"/>
      <c r="M33" s="5"/>
      <c r="N33" s="5"/>
      <c r="O33" s="5"/>
      <c r="P33" s="5"/>
    </row>
    <row r="34" spans="1:46" x14ac:dyDescent="0.2">
      <c r="A34" s="6"/>
      <c r="B34" s="6"/>
      <c r="C34" s="7"/>
      <c r="D34" s="11"/>
      <c r="E34" s="10"/>
      <c r="F34" s="6"/>
      <c r="G34" s="6"/>
      <c r="H34" s="6"/>
      <c r="I34" s="5"/>
      <c r="J34" s="5"/>
      <c r="K34" s="5"/>
      <c r="L34" s="5"/>
      <c r="M34" s="5"/>
      <c r="N34" s="5"/>
      <c r="O34" s="5"/>
      <c r="P34" s="5"/>
    </row>
    <row r="35" spans="1:46" x14ac:dyDescent="0.2">
      <c r="A35" s="6"/>
      <c r="B35" s="6"/>
      <c r="C35" s="7"/>
      <c r="D35" s="11"/>
      <c r="E35" s="10"/>
      <c r="F35" s="6"/>
      <c r="G35" s="6"/>
      <c r="H35" s="6"/>
      <c r="I35" s="5"/>
      <c r="J35" s="5"/>
      <c r="K35" s="5"/>
      <c r="L35" s="5"/>
      <c r="M35" s="5"/>
      <c r="N35" s="5"/>
      <c r="O35" s="5"/>
      <c r="P35" s="5"/>
    </row>
    <row r="36" spans="1:46" x14ac:dyDescent="0.2">
      <c r="A36" s="6"/>
      <c r="B36" s="6"/>
      <c r="C36" s="7"/>
      <c r="D36" s="11"/>
      <c r="E36" s="10"/>
      <c r="F36" s="6"/>
      <c r="G36" s="6"/>
      <c r="H36" s="6"/>
      <c r="I36" s="5"/>
      <c r="J36" s="5"/>
      <c r="K36" s="5"/>
      <c r="L36" s="5"/>
      <c r="M36" s="5"/>
      <c r="N36" s="5"/>
      <c r="O36" s="5"/>
      <c r="P36" s="5"/>
    </row>
    <row r="37" spans="1:46" x14ac:dyDescent="0.2">
      <c r="A37" s="6"/>
      <c r="B37" s="6"/>
      <c r="C37" s="7"/>
      <c r="D37" s="11"/>
      <c r="E37" s="10"/>
      <c r="F37" s="6"/>
      <c r="G37" s="6"/>
      <c r="H37" s="6"/>
      <c r="I37" s="5"/>
      <c r="J37" s="5"/>
      <c r="K37" s="5"/>
      <c r="L37" s="5"/>
      <c r="M37" s="5"/>
      <c r="N37" s="5"/>
      <c r="O37" s="5"/>
      <c r="P37" s="5"/>
    </row>
    <row r="38" spans="1:46" x14ac:dyDescent="0.2">
      <c r="D38" s="7"/>
      <c r="E38" s="10"/>
      <c r="F38" s="6"/>
      <c r="G38" s="6"/>
      <c r="H38" s="6"/>
      <c r="I38" s="5"/>
      <c r="J38" s="5"/>
      <c r="N38" s="5"/>
      <c r="O38" s="5"/>
      <c r="P38" s="5"/>
    </row>
    <row r="39" spans="1:46" x14ac:dyDescent="0.2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5"/>
      <c r="P39" s="5"/>
    </row>
    <row r="40" spans="1:46" x14ac:dyDescent="0.2">
      <c r="A40" s="26" t="str">
        <f>Foglio2!A48</f>
        <v>BESCHEINIGUNG/CERTIFICAZIONE NR.:</v>
      </c>
      <c r="B40" s="39"/>
      <c r="C40" s="27"/>
      <c r="D40" s="19"/>
      <c r="E40" s="24"/>
      <c r="F40" s="19"/>
      <c r="G40" s="19"/>
      <c r="H40" s="19"/>
      <c r="I40" s="15"/>
      <c r="J40" s="55"/>
      <c r="K40" s="55"/>
      <c r="L40" s="19"/>
      <c r="M40" s="19"/>
      <c r="N40" s="211" t="str">
        <f>Foglio2!E48</f>
        <v>40/</v>
      </c>
      <c r="O40" s="211"/>
      <c r="P40" s="211"/>
      <c r="Q40" s="211"/>
      <c r="R40" s="19"/>
      <c r="S40" s="19"/>
      <c r="T40" s="19"/>
      <c r="U40" s="19"/>
      <c r="V40" s="211" t="str">
        <f>Foglio2!E53</f>
        <v>SPERIMENTATORE</v>
      </c>
      <c r="W40" s="212"/>
      <c r="X40" s="212"/>
      <c r="Y40" s="212"/>
      <c r="Z40" s="212"/>
      <c r="AA40" s="212"/>
      <c r="AB40" s="212"/>
      <c r="AC40" s="212"/>
      <c r="AD40" s="212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24"/>
      <c r="AP40" s="19"/>
      <c r="AQ40" s="19"/>
      <c r="AR40" s="19"/>
      <c r="AS40" s="39" t="str">
        <f>Foglio2!H53</f>
        <v>DIRETTORE LABORATORIO</v>
      </c>
      <c r="AT40" s="19"/>
    </row>
    <row r="41" spans="1:46" x14ac:dyDescent="0.2">
      <c r="A41" s="26" t="str">
        <f>Foglio2!A49</f>
        <v>ANNAHMEDATUM/DATA ACCETTAZIONE:</v>
      </c>
      <c r="B41" s="39"/>
      <c r="C41" s="27"/>
      <c r="D41" s="24"/>
      <c r="E41" s="24"/>
      <c r="F41" s="19"/>
      <c r="G41" s="19"/>
      <c r="H41" s="19"/>
      <c r="I41" s="56"/>
      <c r="J41" s="24"/>
      <c r="K41" s="24"/>
      <c r="L41" s="19"/>
      <c r="M41" s="19"/>
      <c r="N41" s="206">
        <f>Foglio2!E49</f>
        <v>46114</v>
      </c>
      <c r="O41" s="206"/>
      <c r="P41" s="206"/>
      <c r="Q41" s="206"/>
      <c r="R41" s="19"/>
      <c r="S41" s="19"/>
      <c r="T41" s="19"/>
      <c r="U41" s="19"/>
      <c r="V41" s="19"/>
      <c r="W41" s="19"/>
      <c r="X41" s="208" t="str">
        <f>Foglio2!E54</f>
        <v>R. Mattuzzi</v>
      </c>
      <c r="Y41" s="209"/>
      <c r="Z41" s="209"/>
      <c r="AA41" s="209"/>
      <c r="AB41" s="20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24"/>
      <c r="AP41" s="19"/>
      <c r="AQ41" s="19"/>
      <c r="AR41" s="19"/>
      <c r="AS41" s="41" t="str">
        <f>Foglio2!H54</f>
        <v>dr. F. Shams</v>
      </c>
      <c r="AT41" s="19"/>
    </row>
    <row r="42" spans="1:46" x14ac:dyDescent="0.2">
      <c r="A42" s="26" t="str">
        <f>Foglio2!A50</f>
        <v>VERSUCH DATUM/DATA PROVA :</v>
      </c>
      <c r="B42" s="24"/>
      <c r="C42" s="24"/>
      <c r="D42" s="24"/>
      <c r="E42" s="24"/>
      <c r="F42" s="19"/>
      <c r="G42" s="19"/>
      <c r="H42" s="19"/>
      <c r="I42" s="19"/>
      <c r="J42" s="19"/>
      <c r="K42" s="19"/>
      <c r="L42" s="19"/>
      <c r="M42" s="19"/>
      <c r="N42" s="206">
        <f>Foglio2!E50</f>
        <v>46115</v>
      </c>
      <c r="O42" s="206"/>
      <c r="P42" s="206"/>
      <c r="Q42" s="206"/>
      <c r="R42" s="24"/>
      <c r="S42" s="24"/>
      <c r="T42" s="24"/>
      <c r="U42" s="24"/>
      <c r="V42" s="24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24"/>
      <c r="AL42" s="24"/>
      <c r="AM42" s="24"/>
      <c r="AN42" s="24"/>
      <c r="AO42" s="24"/>
      <c r="AP42" s="24"/>
      <c r="AQ42" s="19"/>
      <c r="AR42" s="19"/>
      <c r="AS42" s="19"/>
      <c r="AT42" s="19"/>
    </row>
    <row r="43" spans="1:46" x14ac:dyDescent="0.2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4"/>
      <c r="R43" s="24"/>
      <c r="S43" s="24"/>
      <c r="T43" s="24"/>
      <c r="U43" s="24"/>
      <c r="V43" s="24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24"/>
      <c r="AL43" s="24"/>
      <c r="AM43" s="24"/>
      <c r="AN43" s="24"/>
      <c r="AO43" s="24"/>
      <c r="AP43" s="24"/>
      <c r="AQ43" s="19"/>
      <c r="AR43" s="19"/>
      <c r="AS43" s="19"/>
      <c r="AT43" s="19"/>
    </row>
    <row r="44" spans="1:46" x14ac:dyDescent="0.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46" x14ac:dyDescent="0.2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</sheetData>
  <mergeCells count="29">
    <mergeCell ref="A2:O2"/>
    <mergeCell ref="G11:J11"/>
    <mergeCell ref="AH10:AT10"/>
    <mergeCell ref="AO1:AW2"/>
    <mergeCell ref="G10:S10"/>
    <mergeCell ref="AU10:AX10"/>
    <mergeCell ref="O11:S11"/>
    <mergeCell ref="AQ11:AT11"/>
    <mergeCell ref="T10:AG10"/>
    <mergeCell ref="A10:F10"/>
    <mergeCell ref="AP12:AQ12"/>
    <mergeCell ref="AT12:AU12"/>
    <mergeCell ref="AL11:AP11"/>
    <mergeCell ref="F12:G12"/>
    <mergeCell ref="AG12:AH12"/>
    <mergeCell ref="T11:X11"/>
    <mergeCell ref="AK12:AL12"/>
    <mergeCell ref="Y11:AB11"/>
    <mergeCell ref="AC11:AG11"/>
    <mergeCell ref="AH11:AK11"/>
    <mergeCell ref="K11:N11"/>
    <mergeCell ref="N42:Q42"/>
    <mergeCell ref="J12:K12"/>
    <mergeCell ref="X41:AB41"/>
    <mergeCell ref="S12:T12"/>
    <mergeCell ref="N40:Q40"/>
    <mergeCell ref="N41:Q41"/>
    <mergeCell ref="V40:AD40"/>
    <mergeCell ref="X12:Y12"/>
  </mergeCells>
  <phoneticPr fontId="0" type="noConversion"/>
  <printOptions horizontalCentered="1"/>
  <pageMargins left="0.43307086614173229" right="0.39370078740157483" top="0.31496062992125984" bottom="7.874015748031496E-2" header="0.15748031496062992" footer="0"/>
  <pageSetup paperSize="9" scale="98" orientation="landscape" r:id="rId1"/>
  <headerFooter>
    <oddHeader>&amp;C&amp;"Arial,Normale"Concessione Ministeriale nr. 8013, prove geotecniche (settore a), Circolare 7618/STC anno 2010
Sistema di gestione ISO 9001/2015 n. 9175.GEOL</oddHeader>
    <oddFooter>&amp;R&amp;"Arial,Normale"Mod. 8.6.1.9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7"/>
  <sheetViews>
    <sheetView showGridLines="0" topLeftCell="A8" zoomScaleNormal="100" workbookViewId="0">
      <selection activeCell="L13" sqref="L13"/>
    </sheetView>
  </sheetViews>
  <sheetFormatPr defaultRowHeight="12.75" x14ac:dyDescent="0.2"/>
  <cols>
    <col min="1" max="1" width="14.5703125" style="3" customWidth="1"/>
    <col min="2" max="2" width="4.7109375" style="1" customWidth="1"/>
    <col min="3" max="3" width="10.140625" style="1" customWidth="1"/>
    <col min="4" max="4" width="15" style="2" customWidth="1"/>
    <col min="5" max="5" width="19.42578125" style="2" customWidth="1"/>
    <col min="6" max="6" width="14.42578125" style="4" customWidth="1"/>
    <col min="7" max="7" width="3.7109375" style="4" customWidth="1"/>
    <col min="8" max="8" width="7.28515625" style="1" customWidth="1"/>
  </cols>
  <sheetData>
    <row r="1" spans="1:9" ht="12.95" customHeight="1" x14ac:dyDescent="0.2">
      <c r="A1" s="26" t="s">
        <v>45</v>
      </c>
      <c r="B1" s="42"/>
      <c r="C1" s="42"/>
      <c r="D1" s="43"/>
      <c r="E1" s="5"/>
      <c r="F1" s="198" t="s">
        <v>55</v>
      </c>
      <c r="G1" s="198"/>
      <c r="H1" s="198"/>
      <c r="I1" s="198"/>
    </row>
    <row r="2" spans="1:9" ht="17.100000000000001" customHeight="1" x14ac:dyDescent="0.2">
      <c r="A2" s="195" t="s">
        <v>112</v>
      </c>
      <c r="B2" s="196"/>
      <c r="C2" s="196"/>
      <c r="D2" s="196"/>
      <c r="E2" s="5"/>
      <c r="F2" s="198"/>
      <c r="G2" s="198"/>
      <c r="H2" s="198"/>
      <c r="I2" s="198"/>
    </row>
    <row r="3" spans="1:9" x14ac:dyDescent="0.2">
      <c r="A3" s="44"/>
      <c r="B3" s="45"/>
      <c r="C3" s="45"/>
      <c r="D3" s="45"/>
      <c r="E3" s="5"/>
      <c r="F3" s="5"/>
      <c r="G3" s="5"/>
      <c r="I3" s="86" t="s">
        <v>54</v>
      </c>
    </row>
    <row r="4" spans="1:9" x14ac:dyDescent="0.2">
      <c r="A4" s="44"/>
      <c r="B4" s="45"/>
      <c r="C4" s="45"/>
      <c r="D4" s="45"/>
      <c r="E4" s="5"/>
      <c r="H4" s="10" t="s">
        <v>51</v>
      </c>
    </row>
    <row r="5" spans="1:9" ht="18" x14ac:dyDescent="0.2">
      <c r="A5" s="57" t="s">
        <v>48</v>
      </c>
      <c r="B5" s="39"/>
      <c r="C5" s="39"/>
      <c r="D5" s="27"/>
      <c r="E5" s="18"/>
      <c r="F5" s="18"/>
      <c r="G5" s="18"/>
    </row>
    <row r="6" spans="1:9" ht="18" x14ac:dyDescent="0.2">
      <c r="A6" s="36" t="s">
        <v>47</v>
      </c>
      <c r="B6" s="36"/>
      <c r="C6" s="33"/>
      <c r="D6" s="37"/>
      <c r="E6" s="18"/>
      <c r="F6" s="18"/>
      <c r="G6" s="18"/>
      <c r="H6" s="17"/>
    </row>
    <row r="7" spans="1:9" x14ac:dyDescent="0.2">
      <c r="A7" s="39"/>
      <c r="B7" s="39"/>
      <c r="C7" s="39"/>
      <c r="D7" s="27"/>
      <c r="E7" s="201"/>
      <c r="F7" s="202"/>
      <c r="G7" s="202"/>
      <c r="H7" s="17"/>
    </row>
    <row r="8" spans="1:9" x14ac:dyDescent="0.2">
      <c r="A8" s="21" t="s">
        <v>13</v>
      </c>
      <c r="B8" s="21"/>
      <c r="C8" s="39"/>
      <c r="D8" s="27"/>
      <c r="E8" s="136"/>
      <c r="F8" s="203"/>
      <c r="G8" s="204"/>
      <c r="H8" s="111"/>
      <c r="I8" s="111"/>
    </row>
    <row r="9" spans="1:9" x14ac:dyDescent="0.2">
      <c r="A9" s="21"/>
      <c r="B9" s="21"/>
      <c r="C9" s="39"/>
      <c r="D9" s="27"/>
      <c r="E9" s="83"/>
      <c r="F9" s="199"/>
      <c r="G9" s="199"/>
      <c r="H9" s="199"/>
      <c r="I9" s="200"/>
    </row>
    <row r="10" spans="1:9" ht="18" customHeight="1" x14ac:dyDescent="0.2">
      <c r="A10" s="16" t="s">
        <v>108</v>
      </c>
      <c r="B10" s="16"/>
      <c r="C10" s="17"/>
      <c r="D10" s="34" t="s">
        <v>113</v>
      </c>
      <c r="E10"/>
      <c r="F10" s="197"/>
      <c r="G10" s="197"/>
      <c r="H10" s="197"/>
      <c r="I10" s="197"/>
    </row>
    <row r="11" spans="1:9" ht="18" customHeight="1" x14ac:dyDescent="0.2">
      <c r="A11" s="23" t="s">
        <v>109</v>
      </c>
      <c r="B11" s="16"/>
      <c r="C11" s="17"/>
      <c r="D11" s="113" t="s">
        <v>114</v>
      </c>
      <c r="E11" s="175"/>
      <c r="F11" s="23"/>
      <c r="G11" s="23"/>
      <c r="H11" s="164"/>
      <c r="I11" s="164"/>
    </row>
    <row r="12" spans="1:9" ht="18" customHeight="1" x14ac:dyDescent="0.2">
      <c r="A12" s="23" t="s">
        <v>110</v>
      </c>
      <c r="B12" s="16"/>
      <c r="C12" s="17"/>
      <c r="D12" s="162" t="s">
        <v>115</v>
      </c>
      <c r="E12"/>
      <c r="F12" s="23"/>
      <c r="G12" s="23"/>
      <c r="H12" s="164"/>
      <c r="I12" s="164"/>
    </row>
    <row r="13" spans="1:9" ht="18" customHeight="1" x14ac:dyDescent="0.2">
      <c r="A13" s="21" t="s">
        <v>111</v>
      </c>
      <c r="B13" s="16"/>
      <c r="C13" s="17"/>
      <c r="D13" s="205" t="s">
        <v>116</v>
      </c>
      <c r="E13" s="205"/>
      <c r="F13" s="205"/>
      <c r="G13" s="205"/>
      <c r="H13" s="205"/>
      <c r="I13" s="19"/>
    </row>
    <row r="14" spans="1:9" ht="18" customHeight="1" x14ac:dyDescent="0.2">
      <c r="A14" s="23" t="s">
        <v>103</v>
      </c>
      <c r="B14" s="39"/>
      <c r="C14" s="39"/>
      <c r="D14" s="205"/>
      <c r="E14" s="205"/>
      <c r="F14" s="205"/>
      <c r="G14" s="205"/>
      <c r="H14" s="205"/>
      <c r="I14" s="19"/>
    </row>
    <row r="15" spans="1:9" ht="18" customHeight="1" x14ac:dyDescent="0.2">
      <c r="A15" s="21" t="s">
        <v>49</v>
      </c>
      <c r="B15" s="16"/>
      <c r="C15" s="17"/>
      <c r="D15" s="162">
        <v>1</v>
      </c>
      <c r="E15" s="176"/>
      <c r="F15" s="114"/>
      <c r="G15" s="107"/>
      <c r="H15" s="105"/>
      <c r="I15" s="108"/>
    </row>
    <row r="16" spans="1:9" ht="18" customHeight="1" x14ac:dyDescent="0.2">
      <c r="A16" s="23" t="s">
        <v>56</v>
      </c>
      <c r="B16" s="21"/>
      <c r="C16" s="17"/>
      <c r="D16" s="171" t="s">
        <v>105</v>
      </c>
      <c r="E16" s="176"/>
      <c r="F16" s="109"/>
      <c r="G16" s="109"/>
      <c r="H16" s="109"/>
      <c r="I16" s="106"/>
    </row>
    <row r="17" spans="1:11" ht="18" customHeight="1" x14ac:dyDescent="0.2">
      <c r="A17" s="23" t="s">
        <v>39</v>
      </c>
      <c r="B17" s="20"/>
      <c r="C17" s="17"/>
      <c r="D17" s="37" t="s">
        <v>118</v>
      </c>
      <c r="E17" s="37"/>
      <c r="F17" s="37"/>
      <c r="G17" s="37"/>
      <c r="H17" s="37"/>
      <c r="I17" s="37"/>
    </row>
    <row r="18" spans="1:11" ht="10.5" customHeight="1" x14ac:dyDescent="0.2">
      <c r="A18" s="23"/>
      <c r="B18" s="20"/>
      <c r="C18" s="17"/>
      <c r="D18" s="37"/>
      <c r="E18" s="37"/>
      <c r="F18" s="37"/>
      <c r="G18" s="37"/>
      <c r="H18" s="37"/>
      <c r="I18" s="37"/>
    </row>
    <row r="19" spans="1:11" x14ac:dyDescent="0.2">
      <c r="A19" s="26"/>
      <c r="B19" s="20"/>
      <c r="C19" s="17"/>
      <c r="D19" s="37"/>
      <c r="E19" s="37"/>
      <c r="F19" s="37"/>
      <c r="G19" s="37"/>
      <c r="H19" s="37"/>
      <c r="I19" s="37"/>
    </row>
    <row r="20" spans="1:11" x14ac:dyDescent="0.2">
      <c r="A20" s="59" t="s">
        <v>26</v>
      </c>
      <c r="B20" s="59"/>
      <c r="C20" s="60"/>
      <c r="D20" s="61"/>
      <c r="E20" s="62"/>
      <c r="F20" s="63"/>
      <c r="G20" s="15"/>
      <c r="H20" s="64"/>
    </row>
    <row r="21" spans="1:11" x14ac:dyDescent="0.2">
      <c r="A21" s="65" t="s">
        <v>19</v>
      </c>
      <c r="B21" s="185" t="s">
        <v>20</v>
      </c>
      <c r="C21" s="186"/>
      <c r="D21" s="66" t="s">
        <v>22</v>
      </c>
      <c r="E21" s="66" t="s">
        <v>22</v>
      </c>
      <c r="F21" s="67" t="s">
        <v>21</v>
      </c>
      <c r="G21" s="90"/>
      <c r="H21" s="95"/>
    </row>
    <row r="22" spans="1:11" x14ac:dyDescent="0.2">
      <c r="A22" s="68" t="s">
        <v>0</v>
      </c>
      <c r="B22" s="183" t="s">
        <v>41</v>
      </c>
      <c r="C22" s="184"/>
      <c r="D22" s="69" t="s">
        <v>23</v>
      </c>
      <c r="E22" s="68" t="s">
        <v>42</v>
      </c>
      <c r="F22" s="69" t="s">
        <v>43</v>
      </c>
      <c r="G22" s="91"/>
      <c r="H22" s="64"/>
    </row>
    <row r="23" spans="1:11" x14ac:dyDescent="0.2">
      <c r="A23" s="110" t="s">
        <v>60</v>
      </c>
      <c r="B23" s="187">
        <v>90</v>
      </c>
      <c r="C23" s="188"/>
      <c r="D23" s="73"/>
      <c r="E23" s="70"/>
      <c r="F23" s="70"/>
      <c r="G23" s="92"/>
      <c r="H23" s="100"/>
      <c r="I23" s="98"/>
    </row>
    <row r="24" spans="1:11" x14ac:dyDescent="0.2">
      <c r="A24" s="71" t="s">
        <v>31</v>
      </c>
      <c r="B24" s="187">
        <v>63</v>
      </c>
      <c r="C24" s="188"/>
      <c r="D24" s="73"/>
      <c r="E24" s="70"/>
      <c r="F24" s="70"/>
      <c r="G24" s="92"/>
      <c r="H24" s="64"/>
      <c r="I24" s="98"/>
    </row>
    <row r="25" spans="1:11" x14ac:dyDescent="0.2">
      <c r="A25" s="71" t="s">
        <v>29</v>
      </c>
      <c r="B25" s="187">
        <v>56</v>
      </c>
      <c r="C25" s="188"/>
      <c r="D25" s="73"/>
      <c r="E25" s="70"/>
      <c r="F25" s="70"/>
      <c r="G25" s="92"/>
      <c r="H25" s="64"/>
      <c r="I25" s="98"/>
      <c r="J25" s="98"/>
    </row>
    <row r="26" spans="1:11" x14ac:dyDescent="0.2">
      <c r="A26" s="71" t="s">
        <v>30</v>
      </c>
      <c r="B26" s="187">
        <v>45</v>
      </c>
      <c r="C26" s="188"/>
      <c r="D26" s="73"/>
      <c r="E26" s="70"/>
      <c r="F26" s="70"/>
      <c r="G26" s="92"/>
      <c r="H26" s="64"/>
      <c r="I26" s="98"/>
      <c r="J26" s="98"/>
    </row>
    <row r="27" spans="1:11" x14ac:dyDescent="0.2">
      <c r="A27" s="72" t="s">
        <v>32</v>
      </c>
      <c r="B27" s="187">
        <v>31.5</v>
      </c>
      <c r="C27" s="188"/>
      <c r="D27" s="73"/>
      <c r="E27" s="70"/>
      <c r="F27" s="70"/>
      <c r="G27" s="92"/>
      <c r="H27" s="64"/>
      <c r="I27" s="98"/>
    </row>
    <row r="28" spans="1:11" x14ac:dyDescent="0.2">
      <c r="A28" s="72" t="s">
        <v>33</v>
      </c>
      <c r="B28" s="187">
        <v>22.4</v>
      </c>
      <c r="C28" s="188"/>
      <c r="D28" s="73"/>
      <c r="E28" s="70"/>
      <c r="F28" s="70"/>
      <c r="G28" s="92"/>
      <c r="H28" s="99"/>
      <c r="I28" s="98"/>
    </row>
    <row r="29" spans="1:11" x14ac:dyDescent="0.2">
      <c r="A29" s="72" t="s">
        <v>3</v>
      </c>
      <c r="B29" s="187">
        <v>16</v>
      </c>
      <c r="C29" s="188"/>
      <c r="D29" s="73"/>
      <c r="E29" s="70"/>
      <c r="F29" s="70"/>
      <c r="G29" s="92"/>
      <c r="H29" s="99"/>
      <c r="I29" s="98"/>
    </row>
    <row r="30" spans="1:11" x14ac:dyDescent="0.2">
      <c r="A30" s="72" t="s">
        <v>34</v>
      </c>
      <c r="B30" s="187">
        <v>11.2</v>
      </c>
      <c r="C30" s="188"/>
      <c r="D30" s="73">
        <v>0</v>
      </c>
      <c r="E30" s="70">
        <f>IF(D30="","",SUM($D$23:D30)/$D$41*100)</f>
        <v>0</v>
      </c>
      <c r="F30" s="70">
        <f t="shared" ref="F30:F39" si="0">IF(D30="",F29,100-$E30)</f>
        <v>100</v>
      </c>
      <c r="G30" s="92"/>
      <c r="H30" s="64"/>
      <c r="I30" s="98"/>
      <c r="J30" s="98"/>
      <c r="K30" s="98"/>
    </row>
    <row r="31" spans="1:11" x14ac:dyDescent="0.2">
      <c r="A31" s="72" t="s">
        <v>14</v>
      </c>
      <c r="B31" s="187">
        <v>8</v>
      </c>
      <c r="C31" s="188"/>
      <c r="D31" s="73">
        <v>4.5999999999999996</v>
      </c>
      <c r="E31" s="70">
        <f>IF(D31="","",SUM($D$23:D31)/$D$41*100)</f>
        <v>0.23745612223828202</v>
      </c>
      <c r="F31" s="73">
        <f t="shared" si="0"/>
        <v>99.762543877761715</v>
      </c>
      <c r="G31" s="92"/>
      <c r="H31" s="99"/>
      <c r="I31" s="98"/>
    </row>
    <row r="32" spans="1:11" x14ac:dyDescent="0.2">
      <c r="A32" s="72">
        <v>3.5</v>
      </c>
      <c r="B32" s="187">
        <v>5.6</v>
      </c>
      <c r="C32" s="188"/>
      <c r="D32" s="73">
        <v>47.8</v>
      </c>
      <c r="E32" s="70">
        <f>IF(D32="","",SUM($D$23:D32)/$D$41*100)</f>
        <v>2.704934957670865</v>
      </c>
      <c r="F32" s="73">
        <f t="shared" si="0"/>
        <v>97.295065042329128</v>
      </c>
      <c r="G32" s="92"/>
      <c r="I32" s="98"/>
      <c r="K32" s="98"/>
    </row>
    <row r="33" spans="1:9" x14ac:dyDescent="0.2">
      <c r="A33" s="14">
        <v>5</v>
      </c>
      <c r="B33" s="187">
        <v>4</v>
      </c>
      <c r="C33" s="188"/>
      <c r="D33" s="73">
        <v>128.19999999999999</v>
      </c>
      <c r="E33" s="70">
        <f>IF(D33="","",SUM($D$23:D33)/$D$41*100)</f>
        <v>9.3227338426595079</v>
      </c>
      <c r="F33" s="70">
        <f t="shared" si="0"/>
        <v>90.677266157340497</v>
      </c>
      <c r="G33" s="92"/>
      <c r="H33" s="100"/>
      <c r="I33" s="98"/>
    </row>
    <row r="34" spans="1:9" x14ac:dyDescent="0.2">
      <c r="A34" s="14">
        <v>10</v>
      </c>
      <c r="B34" s="187">
        <v>2</v>
      </c>
      <c r="C34" s="188"/>
      <c r="D34" s="73">
        <v>302.39999999999998</v>
      </c>
      <c r="E34" s="70">
        <f>IF(D34="","",SUM($D$23:D34)/$D$41*100)</f>
        <v>24.932892835019615</v>
      </c>
      <c r="F34" s="70">
        <f t="shared" si="0"/>
        <v>75.067107164980385</v>
      </c>
      <c r="G34" s="92"/>
      <c r="H34" s="64"/>
      <c r="I34" s="98"/>
    </row>
    <row r="35" spans="1:9" x14ac:dyDescent="0.2">
      <c r="A35" s="14">
        <v>18</v>
      </c>
      <c r="B35" s="187">
        <v>1</v>
      </c>
      <c r="C35" s="188"/>
      <c r="D35" s="73">
        <v>295.8</v>
      </c>
      <c r="E35" s="70">
        <f>IF(D35="","",SUM($D$23:D35)/$D$41*100)</f>
        <v>40.202353912863927</v>
      </c>
      <c r="F35" s="70">
        <f t="shared" si="0"/>
        <v>59.797646087136073</v>
      </c>
      <c r="G35" s="92"/>
      <c r="H35" s="64"/>
      <c r="I35" s="98"/>
    </row>
    <row r="36" spans="1:9" x14ac:dyDescent="0.2">
      <c r="A36" s="14">
        <v>35</v>
      </c>
      <c r="B36" s="187">
        <v>0.5</v>
      </c>
      <c r="C36" s="188"/>
      <c r="D36" s="73">
        <v>282.2</v>
      </c>
      <c r="E36" s="70">
        <f>IF(D36="","",SUM($D$23:D36)/$D$41*100)</f>
        <v>54.769770803221142</v>
      </c>
      <c r="F36" s="70">
        <f t="shared" si="0"/>
        <v>45.230229196778858</v>
      </c>
      <c r="G36" s="92"/>
      <c r="H36" s="64"/>
      <c r="I36" s="98"/>
    </row>
    <row r="37" spans="1:9" x14ac:dyDescent="0.2">
      <c r="A37" s="14">
        <v>60</v>
      </c>
      <c r="B37" s="187">
        <v>0.25</v>
      </c>
      <c r="C37" s="188"/>
      <c r="D37" s="73">
        <v>243</v>
      </c>
      <c r="E37" s="70">
        <f>IF(D37="","",SUM($D$23:D37)/$D$41*100)</f>
        <v>67.313648564939086</v>
      </c>
      <c r="F37" s="70">
        <f t="shared" si="0"/>
        <v>32.686351435060914</v>
      </c>
      <c r="G37" s="92"/>
      <c r="H37" s="96"/>
      <c r="I37" s="98"/>
    </row>
    <row r="38" spans="1:9" x14ac:dyDescent="0.2">
      <c r="A38" s="14">
        <v>120</v>
      </c>
      <c r="B38" s="187">
        <v>0.125</v>
      </c>
      <c r="C38" s="188"/>
      <c r="D38" s="73">
        <v>214.4</v>
      </c>
      <c r="E38" s="70">
        <f>IF(D38="","",SUM($D$23:D38)/$D$41*100)</f>
        <v>78.381168697088583</v>
      </c>
      <c r="F38" s="70">
        <f t="shared" si="0"/>
        <v>21.618831302911417</v>
      </c>
      <c r="G38" s="92"/>
      <c r="H38" s="74"/>
      <c r="I38" s="98"/>
    </row>
    <row r="39" spans="1:9" x14ac:dyDescent="0.2">
      <c r="A39" s="14">
        <v>230</v>
      </c>
      <c r="B39" s="187">
        <v>6.3E-2</v>
      </c>
      <c r="C39" s="188"/>
      <c r="D39" s="73">
        <v>79.400000000000006</v>
      </c>
      <c r="E39" s="70">
        <f>IF(D39="","",SUM($D$23:D39)/$D$41*100)</f>
        <v>82.479867850505897</v>
      </c>
      <c r="F39" s="70">
        <f t="shared" si="0"/>
        <v>17.520132149494103</v>
      </c>
      <c r="G39" s="93"/>
      <c r="H39" s="74"/>
      <c r="I39" s="98"/>
    </row>
    <row r="40" spans="1:9" x14ac:dyDescent="0.2">
      <c r="A40" s="72"/>
      <c r="B40" s="192" t="s">
        <v>2</v>
      </c>
      <c r="C40" s="193"/>
      <c r="D40" s="89">
        <f>D41-SUM(D23:D39)</f>
        <v>339.39999999999986</v>
      </c>
      <c r="E40" s="75"/>
      <c r="F40" s="76">
        <f>D40/D41*100</f>
        <v>17.52013214949411</v>
      </c>
      <c r="G40" s="93"/>
      <c r="H40" s="25"/>
      <c r="I40" s="98"/>
    </row>
    <row r="41" spans="1:9" x14ac:dyDescent="0.2">
      <c r="A41" s="77" t="s">
        <v>27</v>
      </c>
      <c r="B41" s="78"/>
      <c r="C41" s="48"/>
      <c r="D41" s="135">
        <v>1937.2</v>
      </c>
      <c r="E41" s="59" t="s">
        <v>12</v>
      </c>
      <c r="F41" s="79"/>
      <c r="G41" s="15"/>
      <c r="H41" s="25"/>
      <c r="I41" s="98"/>
    </row>
    <row r="42" spans="1:9" x14ac:dyDescent="0.2">
      <c r="A42" s="80" t="s">
        <v>24</v>
      </c>
      <c r="B42" s="189">
        <f>E24</f>
        <v>0</v>
      </c>
      <c r="C42" s="191"/>
      <c r="D42" s="81" t="s">
        <v>1</v>
      </c>
      <c r="E42" s="77" t="s">
        <v>57</v>
      </c>
      <c r="F42" s="177"/>
      <c r="G42" s="94"/>
      <c r="H42" s="25"/>
    </row>
    <row r="43" spans="1:9" x14ac:dyDescent="0.2">
      <c r="A43" s="80" t="s">
        <v>44</v>
      </c>
      <c r="B43" s="194">
        <f>E34-B42</f>
        <v>24.932892835019615</v>
      </c>
      <c r="C43" s="190"/>
      <c r="D43" s="81" t="s">
        <v>1</v>
      </c>
      <c r="E43" s="77" t="s">
        <v>58</v>
      </c>
      <c r="F43" s="178">
        <v>0.21</v>
      </c>
      <c r="G43" s="94"/>
      <c r="H43" s="39"/>
    </row>
    <row r="44" spans="1:9" x14ac:dyDescent="0.2">
      <c r="A44" s="80" t="s">
        <v>25</v>
      </c>
      <c r="B44" s="189">
        <f>E39-E34</f>
        <v>57.546975015486282</v>
      </c>
      <c r="C44" s="190"/>
      <c r="D44" s="81" t="s">
        <v>1</v>
      </c>
      <c r="E44" s="77" t="s">
        <v>59</v>
      </c>
      <c r="F44" s="178">
        <v>1.05</v>
      </c>
      <c r="G44" s="94"/>
      <c r="H44" s="39"/>
    </row>
    <row r="45" spans="1:9" x14ac:dyDescent="0.2">
      <c r="A45" s="82" t="s">
        <v>28</v>
      </c>
      <c r="B45" s="189">
        <f>F40-B46</f>
        <v>17.52013214949411</v>
      </c>
      <c r="C45" s="190"/>
      <c r="D45" s="81" t="s">
        <v>1</v>
      </c>
      <c r="E45" s="77" t="s">
        <v>52</v>
      </c>
      <c r="F45" s="177"/>
      <c r="G45" s="39"/>
      <c r="H45" s="39"/>
    </row>
    <row r="46" spans="1:9" x14ac:dyDescent="0.2">
      <c r="A46" s="80"/>
      <c r="B46" s="189"/>
      <c r="C46" s="190"/>
      <c r="D46" s="81"/>
      <c r="E46" s="77" t="s">
        <v>53</v>
      </c>
      <c r="F46" s="177"/>
      <c r="G46" s="39"/>
      <c r="H46" s="39"/>
    </row>
    <row r="47" spans="1:9" x14ac:dyDescent="0.2">
      <c r="A47" s="21"/>
      <c r="B47" s="130"/>
      <c r="C47" s="58"/>
      <c r="D47" s="26"/>
      <c r="E47" s="26"/>
      <c r="F47" s="39"/>
      <c r="G47" s="39"/>
      <c r="H47" s="39"/>
    </row>
    <row r="48" spans="1:9" x14ac:dyDescent="0.2">
      <c r="A48" s="26" t="s">
        <v>37</v>
      </c>
      <c r="B48" s="38"/>
      <c r="C48" s="38"/>
      <c r="D48" s="22"/>
      <c r="E48" s="84" t="s">
        <v>117</v>
      </c>
      <c r="F48" s="15"/>
      <c r="G48" s="15"/>
      <c r="H48" s="39"/>
    </row>
    <row r="49" spans="1:8" x14ac:dyDescent="0.2">
      <c r="A49" s="33" t="s">
        <v>36</v>
      </c>
      <c r="B49" s="24"/>
      <c r="C49" s="24"/>
      <c r="D49" s="22"/>
      <c r="E49" s="138">
        <v>46114</v>
      </c>
      <c r="F49" s="18"/>
      <c r="G49" s="18"/>
      <c r="H49" s="39"/>
    </row>
    <row r="50" spans="1:8" x14ac:dyDescent="0.2">
      <c r="A50" s="26" t="s">
        <v>38</v>
      </c>
      <c r="B50" s="24"/>
      <c r="C50" s="24"/>
      <c r="D50" s="22"/>
      <c r="E50" s="138">
        <v>46115</v>
      </c>
      <c r="F50" s="18"/>
      <c r="G50" s="18"/>
      <c r="H50" s="39"/>
    </row>
    <row r="51" spans="1:8" ht="7.5" customHeight="1" x14ac:dyDescent="0.2">
      <c r="A51" s="180"/>
      <c r="B51" s="180"/>
      <c r="C51" s="181"/>
      <c r="D51" s="182"/>
      <c r="E51" s="40"/>
      <c r="F51" s="15"/>
      <c r="G51" s="15"/>
      <c r="H51" s="39"/>
    </row>
    <row r="52" spans="1:8" x14ac:dyDescent="0.2">
      <c r="A52" s="17"/>
      <c r="B52" s="17"/>
      <c r="C52" s="17"/>
      <c r="D52" s="22"/>
      <c r="F52" s="18"/>
      <c r="G52" s="18"/>
    </row>
    <row r="53" spans="1:8" x14ac:dyDescent="0.2">
      <c r="A53" s="17"/>
      <c r="B53" s="26"/>
      <c r="C53" s="17"/>
      <c r="D53" s="22"/>
      <c r="E53" s="15" t="s">
        <v>106</v>
      </c>
      <c r="F53" s="18"/>
      <c r="G53" s="18"/>
      <c r="H53" s="39" t="s">
        <v>18</v>
      </c>
    </row>
    <row r="54" spans="1:8" x14ac:dyDescent="0.2">
      <c r="A54" s="1"/>
      <c r="E54" s="168" t="s">
        <v>107</v>
      </c>
      <c r="H54" s="41" t="s">
        <v>40</v>
      </c>
    </row>
    <row r="55" spans="1:8" x14ac:dyDescent="0.2">
      <c r="A55" s="1"/>
    </row>
    <row r="56" spans="1:8" x14ac:dyDescent="0.2">
      <c r="A56" s="1"/>
    </row>
    <row r="57" spans="1:8" x14ac:dyDescent="0.2">
      <c r="A57" s="1"/>
    </row>
  </sheetData>
  <mergeCells count="35">
    <mergeCell ref="B45:C45"/>
    <mergeCell ref="B33:C33"/>
    <mergeCell ref="B35:C35"/>
    <mergeCell ref="B36:C36"/>
    <mergeCell ref="B28:C28"/>
    <mergeCell ref="A2:D2"/>
    <mergeCell ref="B23:C23"/>
    <mergeCell ref="B29:C29"/>
    <mergeCell ref="B31:C31"/>
    <mergeCell ref="F10:I10"/>
    <mergeCell ref="F1:I2"/>
    <mergeCell ref="F9:G9"/>
    <mergeCell ref="H9:I9"/>
    <mergeCell ref="E7:G7"/>
    <mergeCell ref="F8:G8"/>
    <mergeCell ref="B24:C24"/>
    <mergeCell ref="B25:C25"/>
    <mergeCell ref="B30:C30"/>
    <mergeCell ref="D13:H14"/>
    <mergeCell ref="A51:B51"/>
    <mergeCell ref="C51:D51"/>
    <mergeCell ref="B22:C22"/>
    <mergeCell ref="B21:C21"/>
    <mergeCell ref="B26:C26"/>
    <mergeCell ref="B34:C34"/>
    <mergeCell ref="B27:C27"/>
    <mergeCell ref="B38:C38"/>
    <mergeCell ref="B46:C46"/>
    <mergeCell ref="B32:C32"/>
    <mergeCell ref="B42:C42"/>
    <mergeCell ref="B44:C44"/>
    <mergeCell ref="B40:C40"/>
    <mergeCell ref="B37:C37"/>
    <mergeCell ref="B39:C39"/>
    <mergeCell ref="B43:C43"/>
  </mergeCells>
  <phoneticPr fontId="0" type="noConversion"/>
  <printOptions horizontalCentered="1" gridLinesSet="0"/>
  <pageMargins left="0.39370078740157483" right="0.11811023622047245" top="0.74803149606299213" bottom="0.35433070866141736" header="0.15748031496062992" footer="0.15748031496062992"/>
  <pageSetup paperSize="9" orientation="portrait" r:id="rId1"/>
  <headerFooter>
    <oddHeader>&amp;C&amp;"Arial,Normale"Concessione Ministeriale nr. 8013, prove geotecniche (settore a), Circolare 7618/STC anno 2010
Sistema di gestione ISO 9001/2015 n. 9175.GEOL</oddHeader>
    <oddFooter>&amp;L&amp;"Arial,Normale"Mod. 8.6.1.9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1"/>
  <sheetViews>
    <sheetView topLeftCell="A7" zoomScale="96" zoomScaleNormal="96" workbookViewId="0">
      <selection activeCell="H15" sqref="H15"/>
    </sheetView>
  </sheetViews>
  <sheetFormatPr defaultRowHeight="12.75" x14ac:dyDescent="0.2"/>
  <cols>
    <col min="1" max="9" width="12.7109375" customWidth="1"/>
  </cols>
  <sheetData>
    <row r="1" spans="1:8" ht="18" x14ac:dyDescent="0.25">
      <c r="A1" s="237"/>
      <c r="B1" s="238"/>
      <c r="C1" s="238"/>
      <c r="D1" s="238"/>
      <c r="E1" s="238"/>
      <c r="F1" s="238"/>
      <c r="G1" s="238"/>
      <c r="H1" s="238"/>
    </row>
    <row r="2" spans="1:8" ht="18" x14ac:dyDescent="0.25">
      <c r="A2" s="115"/>
      <c r="B2" s="116"/>
      <c r="C2" s="116"/>
      <c r="D2" s="116"/>
      <c r="E2" s="116"/>
      <c r="F2" s="116"/>
      <c r="G2" s="116"/>
      <c r="H2" s="116"/>
    </row>
    <row r="3" spans="1:8" ht="18" x14ac:dyDescent="0.25">
      <c r="B3" s="117"/>
    </row>
    <row r="4" spans="1:8" ht="18" x14ac:dyDescent="0.25">
      <c r="A4" s="118" t="s">
        <v>62</v>
      </c>
    </row>
    <row r="5" spans="1:8" ht="18" x14ac:dyDescent="0.25">
      <c r="A5" s="239" t="s">
        <v>63</v>
      </c>
      <c r="B5" s="240"/>
      <c r="C5" s="240"/>
      <c r="D5" s="240"/>
      <c r="E5" s="240"/>
      <c r="F5" s="240"/>
      <c r="G5" s="240"/>
      <c r="H5" s="240"/>
    </row>
    <row r="6" spans="1:8" ht="18" x14ac:dyDescent="0.25">
      <c r="A6" s="119"/>
    </row>
    <row r="7" spans="1:8" ht="18" x14ac:dyDescent="0.25">
      <c r="A7" s="5" t="str">
        <f>Foglio2!A2</f>
        <v>VERBALE ACCETTAZIONE NR: 40/02.04.2026</v>
      </c>
      <c r="B7" s="117"/>
      <c r="C7" s="5"/>
      <c r="D7" s="5"/>
      <c r="E7" s="5"/>
      <c r="F7" s="5"/>
      <c r="G7" s="5"/>
      <c r="H7" s="5"/>
    </row>
    <row r="8" spans="1:8" ht="12.75" customHeight="1" x14ac:dyDescent="0.2">
      <c r="A8" s="5"/>
      <c r="B8" s="5"/>
      <c r="C8" s="5"/>
      <c r="D8" s="5"/>
      <c r="E8" s="5"/>
      <c r="F8" s="120"/>
      <c r="G8" s="5" t="s">
        <v>64</v>
      </c>
      <c r="H8" s="140">
        <f>Foglio2!E49</f>
        <v>46114</v>
      </c>
    </row>
    <row r="9" spans="1:8" x14ac:dyDescent="0.2">
      <c r="A9" s="241"/>
      <c r="B9" s="196"/>
      <c r="C9" s="5"/>
      <c r="D9" s="10" t="s">
        <v>65</v>
      </c>
      <c r="E9" s="139">
        <f>Foglio2!D15</f>
        <v>1</v>
      </c>
      <c r="F9" s="10"/>
      <c r="G9" s="5"/>
      <c r="H9" s="5"/>
    </row>
    <row r="10" spans="1:8" ht="12.75" customHeight="1" x14ac:dyDescent="0.2">
      <c r="A10" s="241" t="s">
        <v>66</v>
      </c>
      <c r="B10" s="196"/>
      <c r="C10" s="196"/>
      <c r="D10" s="5"/>
      <c r="E10" s="5"/>
      <c r="F10" s="5"/>
      <c r="G10" s="196" t="s">
        <v>67</v>
      </c>
      <c r="H10" s="196"/>
    </row>
    <row r="11" spans="1:8" x14ac:dyDescent="0.2">
      <c r="A11" s="120"/>
      <c r="B11" s="5"/>
      <c r="C11" s="5"/>
      <c r="D11" s="5"/>
      <c r="E11" s="5"/>
      <c r="F11" s="5"/>
      <c r="G11" s="5"/>
      <c r="H11" s="5"/>
    </row>
    <row r="12" spans="1:8" x14ac:dyDescent="0.2">
      <c r="A12" s="5"/>
      <c r="B12" s="5"/>
      <c r="C12" s="5"/>
      <c r="D12" s="5"/>
      <c r="E12" s="5"/>
      <c r="F12" s="5"/>
      <c r="G12" s="5"/>
      <c r="H12" s="5"/>
    </row>
    <row r="13" spans="1:8" x14ac:dyDescent="0.2">
      <c r="A13" s="5" t="s">
        <v>68</v>
      </c>
      <c r="B13" s="5"/>
      <c r="C13" s="5"/>
      <c r="D13" s="5"/>
      <c r="E13" s="5"/>
      <c r="F13" s="5"/>
      <c r="G13" s="121" t="s">
        <v>69</v>
      </c>
      <c r="H13" s="142" t="e">
        <f>H14+H15</f>
        <v>#DIV/0!</v>
      </c>
    </row>
    <row r="14" spans="1:8" x14ac:dyDescent="0.2">
      <c r="A14" s="5" t="s">
        <v>70</v>
      </c>
      <c r="B14" s="5"/>
      <c r="C14" s="5"/>
      <c r="D14" s="5"/>
      <c r="E14" s="5"/>
      <c r="F14" s="152"/>
      <c r="G14" s="121" t="s">
        <v>71</v>
      </c>
      <c r="H14" s="141">
        <f>SUM(Foglio2!D23:D31)</f>
        <v>4.5999999999999996</v>
      </c>
    </row>
    <row r="15" spans="1:8" x14ac:dyDescent="0.2">
      <c r="A15" s="5" t="s">
        <v>72</v>
      </c>
      <c r="B15" s="5"/>
      <c r="C15" s="5"/>
      <c r="D15" s="5"/>
      <c r="E15" s="123"/>
      <c r="F15" s="142" t="e">
        <f>E46</f>
        <v>#DIV/0!</v>
      </c>
      <c r="G15" s="121" t="s">
        <v>73</v>
      </c>
      <c r="H15" s="141" t="e">
        <f>E15+F15</f>
        <v>#DIV/0!</v>
      </c>
    </row>
    <row r="16" spans="1:8" x14ac:dyDescent="0.2">
      <c r="A16" s="5" t="s">
        <v>74</v>
      </c>
      <c r="B16" s="5"/>
      <c r="C16" s="5"/>
      <c r="D16" s="5"/>
      <c r="E16" s="5"/>
      <c r="F16" s="5"/>
      <c r="G16" s="121" t="s">
        <v>75</v>
      </c>
      <c r="H16" s="133">
        <f>H36-H35</f>
        <v>0</v>
      </c>
    </row>
    <row r="17" spans="1:11" x14ac:dyDescent="0.2">
      <c r="A17" s="5"/>
      <c r="B17" s="5"/>
      <c r="C17" s="5"/>
      <c r="D17" s="5"/>
      <c r="E17" s="5"/>
      <c r="F17" s="5"/>
      <c r="G17" s="5"/>
      <c r="H17" s="5"/>
    </row>
    <row r="18" spans="1:11" x14ac:dyDescent="0.2">
      <c r="A18" s="6"/>
      <c r="B18" s="5"/>
      <c r="C18" s="5"/>
      <c r="D18" s="5"/>
      <c r="E18" s="5"/>
      <c r="F18" s="5"/>
      <c r="G18" s="5"/>
      <c r="H18" s="5"/>
    </row>
    <row r="19" spans="1:11" x14ac:dyDescent="0.2">
      <c r="A19" s="145" t="s">
        <v>0</v>
      </c>
      <c r="B19" s="231" t="s">
        <v>76</v>
      </c>
      <c r="C19" s="232"/>
      <c r="D19" s="233"/>
      <c r="E19" s="234" t="s">
        <v>77</v>
      </c>
      <c r="F19" s="235"/>
      <c r="G19" s="235"/>
      <c r="H19" s="236"/>
    </row>
    <row r="20" spans="1:11" x14ac:dyDescent="0.2">
      <c r="A20" s="110" t="s">
        <v>78</v>
      </c>
      <c r="B20" s="231" t="s">
        <v>79</v>
      </c>
      <c r="C20" s="245"/>
      <c r="D20" s="154" t="s">
        <v>80</v>
      </c>
      <c r="E20" s="246"/>
      <c r="F20" s="247"/>
      <c r="G20" s="248"/>
      <c r="H20" s="249"/>
    </row>
    <row r="21" spans="1:11" x14ac:dyDescent="0.2">
      <c r="A21" s="146">
        <v>5.6</v>
      </c>
      <c r="B21" s="242"/>
      <c r="C21" s="243"/>
      <c r="D21" s="143" t="e">
        <f>B21*($H$15/$H$16)</f>
        <v>#DIV/0!</v>
      </c>
      <c r="E21" s="234"/>
      <c r="F21" s="250"/>
      <c r="G21" s="250"/>
      <c r="H21" s="251"/>
    </row>
    <row r="22" spans="1:11" x14ac:dyDescent="0.2">
      <c r="A22" s="146">
        <v>4</v>
      </c>
      <c r="B22" s="242"/>
      <c r="C22" s="243"/>
      <c r="D22" s="143" t="e">
        <f t="shared" ref="D22:D28" si="0">B22*($H$15/$H$16)</f>
        <v>#DIV/0!</v>
      </c>
      <c r="E22" s="252"/>
      <c r="F22" s="248"/>
      <c r="G22" s="248"/>
      <c r="H22" s="249"/>
    </row>
    <row r="23" spans="1:11" x14ac:dyDescent="0.2">
      <c r="A23" s="147">
        <v>2</v>
      </c>
      <c r="B23" s="242"/>
      <c r="C23" s="243"/>
      <c r="D23" s="143" t="e">
        <f t="shared" si="0"/>
        <v>#DIV/0!</v>
      </c>
      <c r="E23" s="253" t="s">
        <v>81</v>
      </c>
      <c r="F23" s="250"/>
      <c r="G23" s="250"/>
      <c r="H23" s="251"/>
    </row>
    <row r="24" spans="1:11" x14ac:dyDescent="0.2">
      <c r="A24" s="147">
        <v>1</v>
      </c>
      <c r="B24" s="242"/>
      <c r="C24" s="243"/>
      <c r="D24" s="143" t="e">
        <f t="shared" si="0"/>
        <v>#DIV/0!</v>
      </c>
      <c r="E24" s="244" t="s">
        <v>82</v>
      </c>
      <c r="F24" s="196"/>
      <c r="G24" s="196"/>
      <c r="H24" s="254"/>
    </row>
    <row r="25" spans="1:11" x14ac:dyDescent="0.2">
      <c r="A25" s="147">
        <v>0.5</v>
      </c>
      <c r="B25" s="242"/>
      <c r="C25" s="243"/>
      <c r="D25" s="143" t="e">
        <f t="shared" si="0"/>
        <v>#DIV/0!</v>
      </c>
      <c r="E25" s="244"/>
      <c r="F25" s="196"/>
      <c r="G25" s="5"/>
      <c r="H25" s="157"/>
      <c r="K25" s="165"/>
    </row>
    <row r="26" spans="1:11" x14ac:dyDescent="0.2">
      <c r="A26" s="147">
        <v>0.25</v>
      </c>
      <c r="B26" s="242"/>
      <c r="C26" s="243"/>
      <c r="D26" s="143" t="e">
        <f t="shared" si="0"/>
        <v>#DIV/0!</v>
      </c>
      <c r="E26" s="244"/>
      <c r="F26" s="196"/>
      <c r="G26" s="5"/>
      <c r="H26" s="157"/>
    </row>
    <row r="27" spans="1:11" x14ac:dyDescent="0.2">
      <c r="A27" s="148">
        <v>0.125</v>
      </c>
      <c r="B27" s="242"/>
      <c r="C27" s="243"/>
      <c r="D27" s="143" t="e">
        <f t="shared" si="0"/>
        <v>#DIV/0!</v>
      </c>
      <c r="E27" s="244"/>
      <c r="F27" s="196"/>
      <c r="G27" s="5"/>
      <c r="H27" s="157"/>
      <c r="K27" s="98"/>
    </row>
    <row r="28" spans="1:11" x14ac:dyDescent="0.2">
      <c r="A28" s="149">
        <v>6.3E-2</v>
      </c>
      <c r="B28" s="242"/>
      <c r="C28" s="243"/>
      <c r="D28" s="143" t="e">
        <f t="shared" si="0"/>
        <v>#DIV/0!</v>
      </c>
      <c r="E28" s="252"/>
      <c r="F28" s="248"/>
      <c r="G28" s="152"/>
      <c r="H28" s="155"/>
    </row>
    <row r="29" spans="1:11" x14ac:dyDescent="0.2">
      <c r="A29" s="144" t="s">
        <v>83</v>
      </c>
      <c r="B29" s="231">
        <f>H16-SUM(B21:C28)</f>
        <v>0</v>
      </c>
      <c r="C29" s="256"/>
      <c r="D29" s="143" t="e">
        <f>B29*($H$15/$H$16)</f>
        <v>#DIV/0!</v>
      </c>
      <c r="E29" s="231" t="s">
        <v>84</v>
      </c>
      <c r="F29" s="232"/>
      <c r="G29" s="232"/>
      <c r="H29" s="256"/>
    </row>
    <row r="30" spans="1:11" x14ac:dyDescent="0.2">
      <c r="A30" s="150" t="s">
        <v>85</v>
      </c>
      <c r="B30" s="158"/>
      <c r="C30" s="153"/>
      <c r="D30" s="159"/>
      <c r="E30" s="231" t="s">
        <v>86</v>
      </c>
      <c r="F30" s="232"/>
      <c r="G30" s="232"/>
      <c r="H30" s="256"/>
    </row>
    <row r="31" spans="1:11" x14ac:dyDescent="0.2">
      <c r="A31" s="151" t="s">
        <v>87</v>
      </c>
      <c r="B31" s="156"/>
      <c r="C31" s="155"/>
      <c r="D31" s="159"/>
      <c r="E31" s="152"/>
      <c r="F31" s="152"/>
      <c r="G31" s="152"/>
      <c r="H31" s="155"/>
    </row>
    <row r="32" spans="1:11" x14ac:dyDescent="0.2">
      <c r="A32" s="5"/>
      <c r="B32" s="5"/>
      <c r="C32" s="5"/>
      <c r="D32" s="250"/>
      <c r="E32" s="250"/>
      <c r="F32" s="250"/>
      <c r="G32" s="250"/>
      <c r="H32" s="250"/>
    </row>
    <row r="33" spans="1:8" x14ac:dyDescent="0.2">
      <c r="A33" s="5" t="s">
        <v>88</v>
      </c>
      <c r="B33" s="5"/>
      <c r="C33" s="133"/>
      <c r="D33" s="10"/>
      <c r="E33" s="10"/>
      <c r="F33" s="5"/>
      <c r="G33" s="121" t="s">
        <v>89</v>
      </c>
      <c r="H33" s="142">
        <f>H34-H35</f>
        <v>0</v>
      </c>
    </row>
    <row r="34" spans="1:8" x14ac:dyDescent="0.2">
      <c r="A34" s="5" t="s">
        <v>90</v>
      </c>
      <c r="B34" s="5"/>
      <c r="C34" s="122"/>
      <c r="D34" s="5"/>
      <c r="E34" s="5"/>
      <c r="F34" s="5"/>
      <c r="G34" s="121" t="s">
        <v>91</v>
      </c>
      <c r="H34" s="124"/>
    </row>
    <row r="35" spans="1:8" x14ac:dyDescent="0.2">
      <c r="A35" s="5" t="s">
        <v>102</v>
      </c>
      <c r="B35" s="5"/>
      <c r="C35" s="160">
        <f>C33+C34</f>
        <v>0</v>
      </c>
      <c r="D35" s="5"/>
      <c r="E35" s="5"/>
      <c r="F35" s="5"/>
      <c r="G35" s="121" t="s">
        <v>92</v>
      </c>
      <c r="H35" s="125"/>
    </row>
    <row r="36" spans="1:8" x14ac:dyDescent="0.2">
      <c r="A36" s="5"/>
      <c r="B36" s="5"/>
      <c r="C36" s="5"/>
      <c r="D36" s="5"/>
      <c r="E36" s="5"/>
      <c r="F36" s="5"/>
      <c r="G36" s="121" t="s">
        <v>99</v>
      </c>
      <c r="H36" s="160"/>
    </row>
    <row r="37" spans="1:8" x14ac:dyDescent="0.2">
      <c r="A37" s="5" t="s">
        <v>93</v>
      </c>
      <c r="B37" s="5"/>
      <c r="C37" s="5"/>
      <c r="D37" s="5"/>
      <c r="E37" s="5"/>
      <c r="F37" s="5"/>
      <c r="G37" s="5"/>
      <c r="H37" s="5"/>
    </row>
    <row r="38" spans="1:8" x14ac:dyDescent="0.2">
      <c r="A38" s="5"/>
      <c r="B38" s="5"/>
      <c r="C38" s="5"/>
      <c r="D38" s="5"/>
      <c r="E38" s="5"/>
      <c r="F38" s="5"/>
      <c r="G38" s="5"/>
      <c r="H38" s="5"/>
    </row>
    <row r="39" spans="1:8" x14ac:dyDescent="0.2">
      <c r="A39" s="5"/>
      <c r="B39" s="5"/>
      <c r="C39" s="5"/>
      <c r="D39" s="5"/>
      <c r="E39" s="5"/>
      <c r="F39" s="5"/>
      <c r="G39" s="129" t="s">
        <v>100</v>
      </c>
      <c r="H39" s="161" t="e">
        <f>((H34-H36)/H16)*100</f>
        <v>#DIV/0!</v>
      </c>
    </row>
    <row r="40" spans="1:8" x14ac:dyDescent="0.2">
      <c r="A40" s="5"/>
      <c r="B40" s="5"/>
      <c r="C40" s="5"/>
      <c r="D40" s="5"/>
      <c r="E40" s="5"/>
      <c r="F40" s="5"/>
      <c r="G40" s="129" t="s">
        <v>104</v>
      </c>
      <c r="H40" s="161" t="e">
        <f>((C35-H13)/H13)*100</f>
        <v>#DIV/0!</v>
      </c>
    </row>
    <row r="41" spans="1:8" ht="15" x14ac:dyDescent="0.25">
      <c r="A41" s="5"/>
      <c r="B41" s="126" t="s">
        <v>94</v>
      </c>
      <c r="C41" s="5"/>
      <c r="D41" s="5"/>
      <c r="E41" s="5"/>
      <c r="F41" s="5"/>
      <c r="G41" s="5"/>
      <c r="H41" s="5"/>
    </row>
    <row r="42" spans="1:8" x14ac:dyDescent="0.2">
      <c r="A42" s="5"/>
      <c r="B42" s="5"/>
      <c r="C42" s="5"/>
      <c r="D42" s="5"/>
      <c r="E42" s="5"/>
      <c r="F42" s="5"/>
      <c r="G42" s="5"/>
      <c r="H42" s="5"/>
    </row>
    <row r="43" spans="1:8" x14ac:dyDescent="0.2">
      <c r="A43" s="5"/>
      <c r="B43" s="127" t="s">
        <v>95</v>
      </c>
      <c r="C43" s="127"/>
      <c r="D43" s="255" t="s">
        <v>61</v>
      </c>
      <c r="E43" s="257" t="s">
        <v>101</v>
      </c>
      <c r="F43" s="257"/>
      <c r="G43" s="257"/>
      <c r="H43" s="257"/>
    </row>
    <row r="44" spans="1:8" x14ac:dyDescent="0.2">
      <c r="A44" s="5"/>
      <c r="B44" s="5" t="s">
        <v>96</v>
      </c>
      <c r="C44" s="5"/>
      <c r="D44" s="255"/>
      <c r="E44" s="257"/>
      <c r="F44" s="257"/>
      <c r="G44" s="257"/>
      <c r="H44" s="257"/>
    </row>
    <row r="45" spans="1:8" x14ac:dyDescent="0.2">
      <c r="A45" s="5"/>
      <c r="B45" s="5"/>
      <c r="C45" s="5"/>
      <c r="D45" s="15"/>
      <c r="E45" s="35"/>
      <c r="F45" s="35"/>
      <c r="G45" s="35"/>
      <c r="H45" s="35"/>
    </row>
    <row r="46" spans="1:8" x14ac:dyDescent="0.2">
      <c r="A46" s="5"/>
      <c r="B46" s="5"/>
      <c r="C46" s="128">
        <f>C34*H16</f>
        <v>0</v>
      </c>
      <c r="D46" s="255" t="s">
        <v>61</v>
      </c>
      <c r="E46" s="211" t="e">
        <f>C46/C47</f>
        <v>#DIV/0!</v>
      </c>
      <c r="F46" s="211"/>
      <c r="G46" s="211"/>
      <c r="H46" s="35"/>
    </row>
    <row r="47" spans="1:8" x14ac:dyDescent="0.2">
      <c r="A47" s="5"/>
      <c r="B47" s="5"/>
      <c r="C47" s="6">
        <f>H33</f>
        <v>0</v>
      </c>
      <c r="D47" s="255"/>
      <c r="E47" s="211"/>
      <c r="F47" s="211"/>
      <c r="G47" s="211"/>
      <c r="H47" s="35"/>
    </row>
    <row r="48" spans="1:8" x14ac:dyDescent="0.2">
      <c r="A48" s="5"/>
      <c r="B48" s="5"/>
      <c r="C48" s="5"/>
      <c r="D48" s="5"/>
      <c r="E48" s="5"/>
      <c r="F48" s="5"/>
      <c r="G48" s="5"/>
      <c r="H48" s="5"/>
    </row>
    <row r="49" spans="1:8" x14ac:dyDescent="0.2">
      <c r="A49" s="5"/>
      <c r="B49" s="5"/>
      <c r="C49" s="5"/>
      <c r="D49" s="5"/>
      <c r="E49" s="5"/>
      <c r="F49" s="5"/>
      <c r="G49" s="5"/>
      <c r="H49" s="5"/>
    </row>
    <row r="50" spans="1:8" x14ac:dyDescent="0.2">
      <c r="A50" s="132" t="s">
        <v>97</v>
      </c>
      <c r="B50" s="5"/>
      <c r="C50" s="5"/>
      <c r="D50" s="5"/>
      <c r="E50" s="5"/>
      <c r="F50" s="5"/>
      <c r="G50" s="5"/>
      <c r="H50" s="132" t="s">
        <v>98</v>
      </c>
    </row>
    <row r="51" spans="1:8" x14ac:dyDescent="0.2">
      <c r="A51" s="5"/>
      <c r="B51" s="5"/>
      <c r="C51" s="5"/>
      <c r="D51" s="5"/>
      <c r="E51" s="5"/>
      <c r="F51" s="5"/>
      <c r="G51" s="5"/>
      <c r="H51" s="5"/>
    </row>
  </sheetData>
  <mergeCells count="32">
    <mergeCell ref="D46:D47"/>
    <mergeCell ref="E46:G47"/>
    <mergeCell ref="B28:C28"/>
    <mergeCell ref="E28:F28"/>
    <mergeCell ref="B29:C29"/>
    <mergeCell ref="E29:H29"/>
    <mergeCell ref="E30:H30"/>
    <mergeCell ref="D32:H32"/>
    <mergeCell ref="D43:D44"/>
    <mergeCell ref="E43:H44"/>
    <mergeCell ref="B27:C27"/>
    <mergeCell ref="E27:F27"/>
    <mergeCell ref="B24:C24"/>
    <mergeCell ref="B20:C20"/>
    <mergeCell ref="E20:H20"/>
    <mergeCell ref="B21:C21"/>
    <mergeCell ref="E21:H22"/>
    <mergeCell ref="B22:C22"/>
    <mergeCell ref="B23:C23"/>
    <mergeCell ref="E23:H23"/>
    <mergeCell ref="E24:H24"/>
    <mergeCell ref="B25:C25"/>
    <mergeCell ref="E25:F25"/>
    <mergeCell ref="B26:C26"/>
    <mergeCell ref="E26:F26"/>
    <mergeCell ref="B19:D19"/>
    <mergeCell ref="E19:H19"/>
    <mergeCell ref="A1:H1"/>
    <mergeCell ref="A5:H5"/>
    <mergeCell ref="A9:B9"/>
    <mergeCell ref="A10:C10"/>
    <mergeCell ref="G10:H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GeoLabor s.a.s.</dc:creator>
  <cp:lastModifiedBy>GEO-LABOR SAS DI FALLAH SHAMS SEYED FARHAD E C. IT 017</cp:lastModifiedBy>
  <cp:lastPrinted>2026-04-08T09:48:22Z</cp:lastPrinted>
  <dcterms:created xsi:type="dcterms:W3CDTF">1999-08-31T15:41:37Z</dcterms:created>
  <dcterms:modified xsi:type="dcterms:W3CDTF">2026-04-08T10:06:47Z</dcterms:modified>
</cp:coreProperties>
</file>